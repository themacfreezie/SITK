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evelopment\DATA REQUESTS\to PUBLIC and other agencies\to Brian McGreal SJH pink data\"/>
    </mc:Choice>
  </mc:AlternateContent>
  <xr:revisionPtr revIDLastSave="0" documentId="13_ncr:1_{1D3B5D07-0619-4A77-9BF1-11138AE47381}" xr6:coauthVersionLast="47" xr6:coauthVersionMax="47" xr10:uidLastSave="{00000000-0000-0000-0000-000000000000}"/>
  <bookViews>
    <workbookView xWindow="-120" yWindow="-120" windowWidth="29040" windowHeight="15720" activeTab="1" xr2:uid="{4671A12D-03CD-4AFE-B174-55DA78C285F2}"/>
  </bookViews>
  <sheets>
    <sheet name="Sheet1" sheetId="1" r:id="rId1"/>
    <sheet name="Field descrip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5" i="1"/>
  <c r="AA46" i="1"/>
  <c r="AA47" i="1"/>
  <c r="AA48" i="1"/>
  <c r="AA49" i="1"/>
  <c r="AA2" i="1"/>
  <c r="P44" i="1"/>
  <c r="AA4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Wilson, Lorna I (DFG)</author>
  </authors>
  <commentList>
    <comment ref="T44" authorId="0" shapeId="0" xr:uid="{3BB7EDDD-63CF-4125-AF1C-70C0F02E00C7}">
      <text>
        <r>
          <rPr>
            <b/>
            <sz val="9"/>
            <color indexed="81"/>
            <rFont val="Tahoma"/>
            <family val="2"/>
          </rPr>
          <t>Wilson, Lorna I (DFG):</t>
        </r>
        <r>
          <rPr>
            <sz val="9"/>
            <color indexed="81"/>
            <rFont val="Tahoma"/>
            <family val="2"/>
          </rPr>
          <t xml:space="preserve">
For 2019-2024, I moved fish from "personal use" because there are no personal use fisheries for pink salmon from SJH. These are in other non commercial common property returns.</t>
        </r>
      </text>
    </comment>
  </commentList>
</comments>
</file>

<file path=xl/sharedStrings.xml><?xml version="1.0" encoding="utf-8"?>
<sst xmlns="http://schemas.openxmlformats.org/spreadsheetml/2006/main" count="514" uniqueCount="128">
  <si>
    <t>REGION</t>
  </si>
  <si>
    <t>AGENCY_CODE</t>
  </si>
  <si>
    <t>RETURN_YEAR</t>
  </si>
  <si>
    <t>FACILITY</t>
  </si>
  <si>
    <t>SPECIES</t>
  </si>
  <si>
    <t>PROJECT</t>
  </si>
  <si>
    <t>SEINE</t>
  </si>
  <si>
    <t>GILLNET</t>
  </si>
  <si>
    <t>TROLL</t>
  </si>
  <si>
    <t>OTHERCOMM</t>
  </si>
  <si>
    <t>TOTCOMM</t>
  </si>
  <si>
    <t>SPORT</t>
  </si>
  <si>
    <t>PERSUSE</t>
  </si>
  <si>
    <t>BROOD</t>
  </si>
  <si>
    <t>EXCESS</t>
  </si>
  <si>
    <t>OTHER</t>
  </si>
  <si>
    <t>JACKS</t>
  </si>
  <si>
    <t>ESCAPE</t>
  </si>
  <si>
    <t>SUBSIS</t>
  </si>
  <si>
    <t>OTHERNONCOMM</t>
  </si>
  <si>
    <t>CR_CATCH</t>
  </si>
  <si>
    <t>CR_JACK_CATCH</t>
  </si>
  <si>
    <t>COMMENTS</t>
  </si>
  <si>
    <t>SCHEDULE_CODE</t>
  </si>
  <si>
    <t>SOURCE</t>
  </si>
  <si>
    <t>RETURN_ID</t>
  </si>
  <si>
    <t>1</t>
  </si>
  <si>
    <t>SJC</t>
  </si>
  <si>
    <t>1983</t>
  </si>
  <si>
    <t>SHELDON JACKSON</t>
  </si>
  <si>
    <t>PINK</t>
  </si>
  <si>
    <t>385330 = EXCESS BROODSTOCK</t>
  </si>
  <si>
    <t>NA</t>
  </si>
  <si>
    <t>HISTORIC</t>
  </si>
  <si>
    <t>1984</t>
  </si>
  <si>
    <t>493204 = EXCESS BROODSTOCK, from mcgee tables</t>
  </si>
  <si>
    <t>1985</t>
  </si>
  <si>
    <t>673945 = EXCESS BROODSTOCK</t>
  </si>
  <si>
    <t>1986</t>
  </si>
  <si>
    <t/>
  </si>
  <si>
    <t>1987</t>
  </si>
  <si>
    <t>1988</t>
  </si>
  <si>
    <t>1989</t>
  </si>
  <si>
    <t>1990</t>
  </si>
  <si>
    <t>1991</t>
  </si>
  <si>
    <t>1993</t>
  </si>
  <si>
    <t>1994</t>
  </si>
  <si>
    <t>1995</t>
  </si>
  <si>
    <t>1996</t>
  </si>
  <si>
    <t>1992</t>
  </si>
  <si>
    <t>1997</t>
  </si>
  <si>
    <t>1998</t>
  </si>
  <si>
    <t>1999</t>
  </si>
  <si>
    <t>2000</t>
  </si>
  <si>
    <t>2001</t>
  </si>
  <si>
    <t>2002</t>
  </si>
  <si>
    <t>Other: 70 strays</t>
  </si>
  <si>
    <t>2004</t>
  </si>
  <si>
    <t>revenue from SSSF and USDA grants</t>
  </si>
  <si>
    <t>2003</t>
  </si>
  <si>
    <t>2005</t>
  </si>
  <si>
    <t>income from grants and donations.</t>
  </si>
  <si>
    <t>2006</t>
  </si>
  <si>
    <t>2007</t>
  </si>
  <si>
    <t>Seine harvest estimated at 45% of total return.</t>
  </si>
  <si>
    <t>2008</t>
  </si>
  <si>
    <t>SSSC</t>
  </si>
  <si>
    <t>2016</t>
  </si>
  <si>
    <t>SHELDON JACKSON/SSSC</t>
  </si>
  <si>
    <t>C</t>
  </si>
  <si>
    <t>NEW C</t>
  </si>
  <si>
    <t>2015</t>
  </si>
  <si>
    <t>2014</t>
  </si>
  <si>
    <t>2012</t>
  </si>
  <si>
    <t>2011</t>
  </si>
  <si>
    <t>2010</t>
  </si>
  <si>
    <t>2009</t>
  </si>
  <si>
    <t>2017</t>
  </si>
  <si>
    <t>2018</t>
  </si>
  <si>
    <t>Total Ocean survival only accounts for fish that returned to the hatchery, or cost recovery and doesn't take into account any common property, personal use,or sport harvest.</t>
  </si>
  <si>
    <t>2019</t>
  </si>
  <si>
    <t>Estimated commercial catch is based on pink catches in the Deep inlet and Sitka Sound area.</t>
  </si>
  <si>
    <t>2020</t>
  </si>
  <si>
    <t>Commercial and sport harvest was estimated at 30% of hatchery return and split among gear groups.</t>
  </si>
  <si>
    <t>1977</t>
  </si>
  <si>
    <t>1978</t>
  </si>
  <si>
    <t>1979</t>
  </si>
  <si>
    <t>1980</t>
  </si>
  <si>
    <t>1981</t>
  </si>
  <si>
    <t>1982</t>
  </si>
  <si>
    <t>2021</t>
  </si>
  <si>
    <t>Commercial harvest was estimated at 30% of hatchery return and split among gear groups</t>
  </si>
  <si>
    <t>2022</t>
  </si>
  <si>
    <t>2023</t>
  </si>
  <si>
    <t>2024</t>
  </si>
  <si>
    <t>Common property harvest is estimated at a 40% interception rate.</t>
  </si>
  <si>
    <t>2013</t>
  </si>
  <si>
    <t>F</t>
  </si>
  <si>
    <t>NEW F</t>
  </si>
  <si>
    <t>Field name</t>
  </si>
  <si>
    <t>Field description</t>
  </si>
  <si>
    <t>ADF&amp;G Division of Commercial Fisheries Region. Region 1 = Southeast, Region 2 = Prince William Sound, Cook Inlet, and Bristol Bay, Region 3 = Arctic, Yukon, and Kuskowkim, Region 4 = Kodiak and Aleutians</t>
  </si>
  <si>
    <t>Operator of the hatchery</t>
  </si>
  <si>
    <t>Year that fish matured and returned</t>
  </si>
  <si>
    <t>Hatchery permitted for egg take through release with attributable returns</t>
  </si>
  <si>
    <t>Common name</t>
  </si>
  <si>
    <t>Return area or harvest type, typically is associated with a release site</t>
  </si>
  <si>
    <t>Common propety commercial harvest using seine gear</t>
  </si>
  <si>
    <t>Common propety commercial harvest using gillnet gear</t>
  </si>
  <si>
    <t>Common propety commercial harvest using troll gear</t>
  </si>
  <si>
    <t>Common propety commercial harvest using another gear type such as setnet</t>
  </si>
  <si>
    <t>May be the sum of the commercial common property harvest</t>
  </si>
  <si>
    <t>Common property sport harvest</t>
  </si>
  <si>
    <t>Common property harvest in a personal use fishery</t>
  </si>
  <si>
    <t xml:space="preserve">Number of fish used for brood, includes viable brood and inviable brood </t>
  </si>
  <si>
    <t>Returns to the hatchery with non-hatchery fates, such as sea lion predation, donations to local groups</t>
  </si>
  <si>
    <t>Early-maturing males, often one or more full years before the earliest maturing female</t>
  </si>
  <si>
    <t>Numbers of fish that returned to the watershed used by naturally spawning salmon</t>
  </si>
  <si>
    <t>Noncommercial common property harvest in subsistence fishery</t>
  </si>
  <si>
    <t>Noncommercial common property harvest that is not sport, personal use, or subsistence</t>
  </si>
  <si>
    <t>Cost recovery harvest, excluding jacks</t>
  </si>
  <si>
    <t xml:space="preserve">Jacks in the cost recovery harvest. See above definition for "jack" </t>
  </si>
  <si>
    <t>Database code. Schedule A contains brood and egg take details, B contains release details, and C contains return details. Schedule Fs correct the previous year's schedule C and contain updated information</t>
  </si>
  <si>
    <t>Internal datbase source. New = imported into the Oracle database; Historic = yet to be imported into the Oracle database</t>
  </si>
  <si>
    <t>Details and discussion of numbers on the schedule</t>
  </si>
  <si>
    <t>Total return</t>
  </si>
  <si>
    <t>Calculated field that is the sum of attributable returns for that agency, return year, facility, species, and project</t>
  </si>
  <si>
    <t>Unique identifier for the historic database in Access. Deprecated when ARs are imported into the Oracle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</si>
</sst>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right" wrapText="1"/>
    </xf>
    <xf numFmtId="0" fontId="1" fillId="2" borderId="1" xfId="1" applyFont="1" applyFill="1" applyBorder="1" applyAlignment="1">
      <alignment horizontal="center" textRotation="90"/>
    </xf>
    <xf numFmtId="0" fontId="0" fillId="0" borderId="0" xfId="0" applyAlignment="1">
      <alignment textRotation="90"/>
    </xf>
    <xf numFmtId="3" fontId="1" fillId="2" borderId="1" xfId="1" applyNumberFormat="1" applyFont="1" applyFill="1" applyBorder="1" applyAlignment="1">
      <alignment horizontal="center" textRotation="90"/>
    </xf>
    <xf numFmtId="3" fontId="1" fillId="0" borderId="2" xfId="1" applyNumberFormat="1" applyFont="1" applyBorder="1" applyAlignment="1">
      <alignment horizontal="right" wrapText="1"/>
    </xf>
    <xf numFmtId="3" fontId="2" fillId="0" borderId="2" xfId="1" applyNumberFormat="1" applyBorder="1"/>
    <xf numFmtId="3" fontId="1" fillId="0" borderId="0" xfId="1" applyNumberFormat="1" applyFont="1" applyAlignment="1">
      <alignment horizontal="right" wrapText="1"/>
    </xf>
    <xf numFmtId="3" fontId="2" fillId="0" borderId="0" xfId="1" applyNumberFormat="1"/>
    <xf numFmtId="3" fontId="0" fillId="0" borderId="0" xfId="0" applyNumberFormat="1"/>
    <xf numFmtId="9" fontId="0" fillId="0" borderId="0" xfId="0" applyNumberFormat="1"/>
    <xf numFmtId="3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Sheet1" xfId="1" xr:uid="{5A183225-D2CF-4E56-97A1-417926CB74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75247-3FB7-4370-B7D6-763ECF974BB7}">
  <dimension ref="A1:AA51"/>
  <sheetViews>
    <sheetView workbookViewId="0">
      <pane ySplit="1" topLeftCell="A32" activePane="bottomLeft" state="frozen"/>
      <selection pane="bottomLeft" activeCell="F59" sqref="F59"/>
    </sheetView>
  </sheetViews>
  <sheetFormatPr defaultRowHeight="15" x14ac:dyDescent="0.25"/>
  <cols>
    <col min="1" max="1" width="3.7109375" bestFit="1" customWidth="1"/>
    <col min="2" max="2" width="5.140625" bestFit="1" customWidth="1"/>
    <col min="3" max="3" width="5" bestFit="1" customWidth="1"/>
    <col min="4" max="4" width="18.140625" bestFit="1" customWidth="1"/>
    <col min="5" max="5" width="5.28515625" bestFit="1" customWidth="1"/>
    <col min="6" max="6" width="23.28515625" bestFit="1" customWidth="1"/>
    <col min="7" max="7" width="7.5703125" style="10" bestFit="1" customWidth="1"/>
    <col min="8" max="10" width="6.5703125" style="10" bestFit="1" customWidth="1"/>
    <col min="11" max="11" width="7.5703125" style="10" bestFit="1" customWidth="1"/>
    <col min="12" max="12" width="5.5703125" style="10" bestFit="1" customWidth="1"/>
    <col min="13" max="16" width="7.85546875" style="10" customWidth="1"/>
    <col min="17" max="17" width="11.28515625" style="10" customWidth="1"/>
    <col min="18" max="18" width="12" style="10" customWidth="1"/>
    <col min="19" max="19" width="7.85546875" style="10" customWidth="1"/>
    <col min="20" max="20" width="3.85546875" style="10" bestFit="1" customWidth="1"/>
    <col min="21" max="21" width="7.5703125" style="10" bestFit="1" customWidth="1"/>
    <col min="22" max="22" width="3.7109375" bestFit="1" customWidth="1"/>
    <col min="23" max="23" width="12.5703125" customWidth="1"/>
    <col min="24" max="24" width="3.7109375" bestFit="1" customWidth="1"/>
    <col min="25" max="25" width="9.140625" bestFit="1" customWidth="1"/>
    <col min="26" max="26" width="5" bestFit="1" customWidth="1"/>
  </cols>
  <sheetData>
    <row r="1" spans="1:27" s="4" customFormat="1" ht="91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125</v>
      </c>
    </row>
    <row r="2" spans="1:27" x14ac:dyDescent="0.25">
      <c r="A2" s="1" t="s">
        <v>26</v>
      </c>
      <c r="B2" s="1" t="s">
        <v>27</v>
      </c>
      <c r="C2" s="1" t="s">
        <v>84</v>
      </c>
      <c r="D2" s="1" t="s">
        <v>29</v>
      </c>
      <c r="E2" s="1" t="s">
        <v>30</v>
      </c>
      <c r="F2" s="1" t="s">
        <v>29</v>
      </c>
      <c r="G2" s="6">
        <v>0</v>
      </c>
      <c r="H2" s="6">
        <v>0</v>
      </c>
      <c r="I2" s="6">
        <v>0</v>
      </c>
      <c r="J2" s="6">
        <v>15000</v>
      </c>
      <c r="K2" s="7"/>
      <c r="L2" s="6">
        <v>0</v>
      </c>
      <c r="M2" s="6">
        <v>0</v>
      </c>
      <c r="N2" s="6">
        <v>0</v>
      </c>
      <c r="O2" s="8">
        <v>0</v>
      </c>
      <c r="P2" s="6">
        <v>0</v>
      </c>
      <c r="Q2" s="6">
        <v>0</v>
      </c>
      <c r="R2" s="6">
        <v>0</v>
      </c>
      <c r="S2" s="6">
        <v>0</v>
      </c>
      <c r="T2" s="8">
        <v>0</v>
      </c>
      <c r="U2" s="6">
        <v>93173</v>
      </c>
      <c r="V2" s="2">
        <v>0</v>
      </c>
      <c r="W2" s="1" t="s">
        <v>39</v>
      </c>
      <c r="X2" s="1" t="s">
        <v>69</v>
      </c>
      <c r="Y2" s="1" t="s">
        <v>70</v>
      </c>
      <c r="Z2" s="2">
        <v>1</v>
      </c>
      <c r="AA2" s="10">
        <f>SUM(G2:J2,L2:V2)</f>
        <v>108173</v>
      </c>
    </row>
    <row r="3" spans="1:27" x14ac:dyDescent="0.25">
      <c r="A3" s="1" t="s">
        <v>26</v>
      </c>
      <c r="B3" s="1" t="s">
        <v>27</v>
      </c>
      <c r="C3" s="1" t="s">
        <v>85</v>
      </c>
      <c r="D3" s="1" t="s">
        <v>29</v>
      </c>
      <c r="E3" s="1" t="s">
        <v>30</v>
      </c>
      <c r="F3" s="1" t="s">
        <v>29</v>
      </c>
      <c r="G3" s="6">
        <v>0</v>
      </c>
      <c r="H3" s="6">
        <v>0</v>
      </c>
      <c r="I3" s="6">
        <v>0</v>
      </c>
      <c r="J3" s="6">
        <v>0</v>
      </c>
      <c r="K3" s="7"/>
      <c r="L3" s="6">
        <v>0</v>
      </c>
      <c r="M3" s="6">
        <v>0</v>
      </c>
      <c r="N3" s="6">
        <v>3768</v>
      </c>
      <c r="O3" s="8">
        <v>0</v>
      </c>
      <c r="P3" s="6">
        <v>0</v>
      </c>
      <c r="Q3" s="6">
        <v>0</v>
      </c>
      <c r="R3" s="6">
        <v>2009</v>
      </c>
      <c r="S3" s="6">
        <v>0</v>
      </c>
      <c r="T3" s="8">
        <v>0</v>
      </c>
      <c r="U3" s="6">
        <v>0</v>
      </c>
      <c r="V3" s="2">
        <v>0</v>
      </c>
      <c r="W3" s="1" t="s">
        <v>39</v>
      </c>
      <c r="X3" s="1" t="s">
        <v>69</v>
      </c>
      <c r="Y3" s="1" t="s">
        <v>70</v>
      </c>
      <c r="Z3" s="2">
        <v>1</v>
      </c>
      <c r="AA3" s="10">
        <f t="shared" ref="AA3:AA49" si="0">SUM(G3:J3,L3:V3)</f>
        <v>5777</v>
      </c>
    </row>
    <row r="4" spans="1:27" x14ac:dyDescent="0.25">
      <c r="A4" s="1" t="s">
        <v>26</v>
      </c>
      <c r="B4" s="1" t="s">
        <v>27</v>
      </c>
      <c r="C4" s="1" t="s">
        <v>86</v>
      </c>
      <c r="D4" s="1" t="s">
        <v>29</v>
      </c>
      <c r="E4" s="1" t="s">
        <v>30</v>
      </c>
      <c r="F4" s="1" t="s">
        <v>29</v>
      </c>
      <c r="G4" s="6">
        <v>0</v>
      </c>
      <c r="H4" s="6">
        <v>0</v>
      </c>
      <c r="I4" s="6">
        <v>0</v>
      </c>
      <c r="J4" s="6">
        <v>0</v>
      </c>
      <c r="K4" s="7"/>
      <c r="L4" s="6">
        <v>0</v>
      </c>
      <c r="M4" s="6">
        <v>0</v>
      </c>
      <c r="N4" s="6">
        <v>13234</v>
      </c>
      <c r="O4" s="8">
        <v>0</v>
      </c>
      <c r="P4" s="6">
        <v>0</v>
      </c>
      <c r="Q4" s="6">
        <v>0</v>
      </c>
      <c r="R4" s="6">
        <v>15754</v>
      </c>
      <c r="S4" s="6">
        <v>0</v>
      </c>
      <c r="T4" s="8">
        <v>0</v>
      </c>
      <c r="U4" s="6">
        <v>29555</v>
      </c>
      <c r="V4" s="2">
        <v>0</v>
      </c>
      <c r="W4" s="1" t="s">
        <v>39</v>
      </c>
      <c r="X4" s="1" t="s">
        <v>69</v>
      </c>
      <c r="Y4" s="1" t="s">
        <v>70</v>
      </c>
      <c r="Z4" s="2">
        <v>1</v>
      </c>
      <c r="AA4" s="10">
        <f t="shared" si="0"/>
        <v>58543</v>
      </c>
    </row>
    <row r="5" spans="1:27" x14ac:dyDescent="0.25">
      <c r="A5" s="1" t="s">
        <v>26</v>
      </c>
      <c r="B5" s="1" t="s">
        <v>27</v>
      </c>
      <c r="C5" s="1" t="s">
        <v>87</v>
      </c>
      <c r="D5" s="1" t="s">
        <v>29</v>
      </c>
      <c r="E5" s="1" t="s">
        <v>30</v>
      </c>
      <c r="F5" s="1" t="s">
        <v>29</v>
      </c>
      <c r="G5" s="6">
        <v>0</v>
      </c>
      <c r="H5" s="6">
        <v>0</v>
      </c>
      <c r="I5" s="6">
        <v>0</v>
      </c>
      <c r="J5" s="6">
        <v>0</v>
      </c>
      <c r="K5" s="7"/>
      <c r="L5" s="6">
        <v>0</v>
      </c>
      <c r="M5" s="6">
        <v>0</v>
      </c>
      <c r="N5" s="6">
        <v>2061</v>
      </c>
      <c r="O5" s="8">
        <v>0</v>
      </c>
      <c r="P5" s="6">
        <v>1230</v>
      </c>
      <c r="Q5" s="6">
        <v>0</v>
      </c>
      <c r="R5" s="6">
        <v>2173</v>
      </c>
      <c r="S5" s="6">
        <v>0</v>
      </c>
      <c r="T5" s="8">
        <v>0</v>
      </c>
      <c r="U5" s="6">
        <v>0</v>
      </c>
      <c r="V5" s="2">
        <v>0</v>
      </c>
      <c r="W5" s="1" t="s">
        <v>39</v>
      </c>
      <c r="X5" s="1" t="s">
        <v>69</v>
      </c>
      <c r="Y5" s="1" t="s">
        <v>70</v>
      </c>
      <c r="Z5" s="2">
        <v>1</v>
      </c>
      <c r="AA5" s="10">
        <f t="shared" si="0"/>
        <v>5464</v>
      </c>
    </row>
    <row r="6" spans="1:27" x14ac:dyDescent="0.25">
      <c r="A6" s="1" t="s">
        <v>26</v>
      </c>
      <c r="B6" s="1" t="s">
        <v>27</v>
      </c>
      <c r="C6" s="1" t="s">
        <v>88</v>
      </c>
      <c r="D6" s="1" t="s">
        <v>29</v>
      </c>
      <c r="E6" s="1" t="s">
        <v>30</v>
      </c>
      <c r="F6" s="1" t="s">
        <v>29</v>
      </c>
      <c r="G6" s="6">
        <v>0</v>
      </c>
      <c r="H6" s="6">
        <v>0</v>
      </c>
      <c r="I6" s="6">
        <v>0</v>
      </c>
      <c r="J6" s="6">
        <v>0</v>
      </c>
      <c r="K6" s="7"/>
      <c r="L6" s="6">
        <v>0</v>
      </c>
      <c r="M6" s="6">
        <v>0</v>
      </c>
      <c r="N6" s="6">
        <v>27000</v>
      </c>
      <c r="O6" s="8">
        <v>0</v>
      </c>
      <c r="P6" s="6">
        <v>0</v>
      </c>
      <c r="Q6" s="6">
        <v>0</v>
      </c>
      <c r="R6" s="6">
        <v>37000</v>
      </c>
      <c r="S6" s="6">
        <v>0</v>
      </c>
      <c r="T6" s="8">
        <v>0</v>
      </c>
      <c r="U6" s="6">
        <v>131000</v>
      </c>
      <c r="V6" s="2">
        <v>0</v>
      </c>
      <c r="W6" s="1" t="s">
        <v>39</v>
      </c>
      <c r="X6" s="1" t="s">
        <v>69</v>
      </c>
      <c r="Y6" s="1" t="s">
        <v>70</v>
      </c>
      <c r="Z6" s="2">
        <v>1</v>
      </c>
      <c r="AA6" s="10">
        <f t="shared" si="0"/>
        <v>195000</v>
      </c>
    </row>
    <row r="7" spans="1:27" x14ac:dyDescent="0.25">
      <c r="A7" s="1" t="s">
        <v>26</v>
      </c>
      <c r="B7" s="1" t="s">
        <v>27</v>
      </c>
      <c r="C7" s="1" t="s">
        <v>89</v>
      </c>
      <c r="D7" s="1" t="s">
        <v>29</v>
      </c>
      <c r="E7" s="1" t="s">
        <v>30</v>
      </c>
      <c r="F7" s="1" t="s">
        <v>29</v>
      </c>
      <c r="G7" s="6">
        <v>0</v>
      </c>
      <c r="H7" s="6">
        <v>0</v>
      </c>
      <c r="I7" s="6">
        <v>0</v>
      </c>
      <c r="J7" s="6">
        <v>5000</v>
      </c>
      <c r="K7" s="7"/>
      <c r="L7" s="6">
        <v>0</v>
      </c>
      <c r="M7" s="6">
        <v>0</v>
      </c>
      <c r="N7" s="6">
        <v>33920</v>
      </c>
      <c r="O7" s="8">
        <v>0</v>
      </c>
      <c r="P7" s="6">
        <v>0</v>
      </c>
      <c r="Q7" s="6">
        <v>0</v>
      </c>
      <c r="R7" s="6">
        <v>13080</v>
      </c>
      <c r="S7" s="6">
        <v>0</v>
      </c>
      <c r="T7" s="8">
        <v>0</v>
      </c>
      <c r="U7" s="6">
        <v>0</v>
      </c>
      <c r="V7" s="2">
        <v>0</v>
      </c>
      <c r="W7" s="1" t="s">
        <v>39</v>
      </c>
      <c r="X7" s="1" t="s">
        <v>69</v>
      </c>
      <c r="Y7" s="1" t="s">
        <v>70</v>
      </c>
      <c r="Z7" s="2">
        <v>1</v>
      </c>
      <c r="AA7" s="10">
        <f t="shared" si="0"/>
        <v>52000</v>
      </c>
    </row>
    <row r="8" spans="1:27" ht="15" customHeight="1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29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26165</v>
      </c>
      <c r="O8" s="9"/>
      <c r="P8" s="6">
        <v>0</v>
      </c>
      <c r="Q8" s="6">
        <v>0</v>
      </c>
      <c r="R8" s="6">
        <v>21000</v>
      </c>
      <c r="S8" s="6">
        <v>0</v>
      </c>
      <c r="T8" s="9"/>
      <c r="U8" s="6">
        <v>113000</v>
      </c>
      <c r="V8" s="2">
        <v>0</v>
      </c>
      <c r="W8" s="1" t="s">
        <v>31</v>
      </c>
      <c r="X8" s="1" t="s">
        <v>32</v>
      </c>
      <c r="Y8" s="1" t="s">
        <v>33</v>
      </c>
      <c r="Z8" s="2">
        <v>196</v>
      </c>
      <c r="AA8" s="10">
        <f t="shared" si="0"/>
        <v>160165</v>
      </c>
    </row>
    <row r="9" spans="1:27" ht="15" customHeight="1" x14ac:dyDescent="0.25">
      <c r="A9" s="1" t="s">
        <v>26</v>
      </c>
      <c r="B9" s="1" t="s">
        <v>27</v>
      </c>
      <c r="C9" s="1" t="s">
        <v>34</v>
      </c>
      <c r="D9" s="1" t="s">
        <v>29</v>
      </c>
      <c r="E9" s="1" t="s">
        <v>30</v>
      </c>
      <c r="F9" s="1" t="s">
        <v>29</v>
      </c>
      <c r="G9" s="6">
        <v>0</v>
      </c>
      <c r="H9" s="6">
        <v>0</v>
      </c>
      <c r="I9" s="6">
        <v>0</v>
      </c>
      <c r="J9" s="6">
        <v>3000</v>
      </c>
      <c r="K9" s="6">
        <v>3000</v>
      </c>
      <c r="L9" s="6">
        <v>0</v>
      </c>
      <c r="M9" s="6">
        <v>0</v>
      </c>
      <c r="N9" s="6">
        <v>18696</v>
      </c>
      <c r="O9" s="9"/>
      <c r="P9" s="6">
        <v>0</v>
      </c>
      <c r="Q9" s="6">
        <v>0</v>
      </c>
      <c r="R9" s="6">
        <v>11840</v>
      </c>
      <c r="S9" s="6">
        <v>0</v>
      </c>
      <c r="T9" s="9"/>
      <c r="U9" s="6">
        <v>135869</v>
      </c>
      <c r="V9" s="2">
        <v>0</v>
      </c>
      <c r="W9" s="1" t="s">
        <v>35</v>
      </c>
      <c r="X9" s="1" t="s">
        <v>32</v>
      </c>
      <c r="Y9" s="1" t="s">
        <v>33</v>
      </c>
      <c r="Z9" s="2">
        <v>253</v>
      </c>
      <c r="AA9" s="10">
        <f t="shared" si="0"/>
        <v>169405</v>
      </c>
    </row>
    <row r="10" spans="1:27" ht="15" customHeight="1" x14ac:dyDescent="0.25">
      <c r="A10" s="1" t="s">
        <v>26</v>
      </c>
      <c r="B10" s="1" t="s">
        <v>27</v>
      </c>
      <c r="C10" s="1" t="s">
        <v>36</v>
      </c>
      <c r="D10" s="1" t="s">
        <v>29</v>
      </c>
      <c r="E10" s="1" t="s">
        <v>30</v>
      </c>
      <c r="F10" s="1" t="s">
        <v>29</v>
      </c>
      <c r="G10" s="6">
        <v>66897</v>
      </c>
      <c r="H10" s="6">
        <v>0</v>
      </c>
      <c r="I10" s="6">
        <v>1000</v>
      </c>
      <c r="J10" s="6">
        <v>0</v>
      </c>
      <c r="K10" s="6">
        <v>67897</v>
      </c>
      <c r="L10" s="6">
        <v>1000</v>
      </c>
      <c r="M10" s="6">
        <v>0</v>
      </c>
      <c r="N10" s="6">
        <v>20668</v>
      </c>
      <c r="O10" s="9"/>
      <c r="P10" s="6">
        <v>0</v>
      </c>
      <c r="Q10" s="6">
        <v>0</v>
      </c>
      <c r="R10" s="6">
        <v>30000</v>
      </c>
      <c r="S10" s="6">
        <v>0</v>
      </c>
      <c r="T10" s="9"/>
      <c r="U10" s="6">
        <v>187207</v>
      </c>
      <c r="V10" s="2">
        <v>0</v>
      </c>
      <c r="W10" s="1" t="s">
        <v>37</v>
      </c>
      <c r="X10" s="1" t="s">
        <v>32</v>
      </c>
      <c r="Y10" s="1" t="s">
        <v>33</v>
      </c>
      <c r="Z10" s="2">
        <v>329</v>
      </c>
      <c r="AA10" s="10">
        <f t="shared" si="0"/>
        <v>306772</v>
      </c>
    </row>
    <row r="11" spans="1:27" x14ac:dyDescent="0.25">
      <c r="A11" s="1" t="s">
        <v>26</v>
      </c>
      <c r="B11" s="1" t="s">
        <v>27</v>
      </c>
      <c r="C11" s="1" t="s">
        <v>38</v>
      </c>
      <c r="D11" s="1" t="s">
        <v>29</v>
      </c>
      <c r="E11" s="1" t="s">
        <v>30</v>
      </c>
      <c r="F11" s="1" t="s">
        <v>29</v>
      </c>
      <c r="G11" s="6">
        <v>0</v>
      </c>
      <c r="H11" s="6">
        <v>0</v>
      </c>
      <c r="I11" s="6">
        <v>0</v>
      </c>
      <c r="J11" s="6">
        <v>4500</v>
      </c>
      <c r="K11" s="6">
        <v>4500</v>
      </c>
      <c r="L11" s="6">
        <v>0</v>
      </c>
      <c r="M11" s="6">
        <v>0</v>
      </c>
      <c r="N11" s="6">
        <v>11817</v>
      </c>
      <c r="O11" s="9"/>
      <c r="P11" s="6">
        <v>0</v>
      </c>
      <c r="Q11" s="6">
        <v>0</v>
      </c>
      <c r="R11" s="6">
        <v>6372</v>
      </c>
      <c r="S11" s="6">
        <v>0</v>
      </c>
      <c r="T11" s="9"/>
      <c r="U11" s="6">
        <v>33784</v>
      </c>
      <c r="V11" s="2">
        <v>0</v>
      </c>
      <c r="W11" s="1" t="s">
        <v>39</v>
      </c>
      <c r="X11" s="1" t="s">
        <v>32</v>
      </c>
      <c r="Y11" s="1" t="s">
        <v>33</v>
      </c>
      <c r="Z11" s="2">
        <v>401</v>
      </c>
      <c r="AA11" s="10">
        <f t="shared" si="0"/>
        <v>56473</v>
      </c>
    </row>
    <row r="12" spans="1:27" x14ac:dyDescent="0.25">
      <c r="A12" s="1" t="s">
        <v>26</v>
      </c>
      <c r="B12" s="1" t="s">
        <v>27</v>
      </c>
      <c r="C12" s="1" t="s">
        <v>40</v>
      </c>
      <c r="D12" s="1" t="s">
        <v>29</v>
      </c>
      <c r="E12" s="1" t="s">
        <v>30</v>
      </c>
      <c r="F12" s="1" t="s">
        <v>29</v>
      </c>
      <c r="G12" s="6">
        <v>0</v>
      </c>
      <c r="H12" s="6">
        <v>0</v>
      </c>
      <c r="I12" s="6">
        <v>100</v>
      </c>
      <c r="J12" s="6">
        <v>0</v>
      </c>
      <c r="K12" s="6">
        <v>100</v>
      </c>
      <c r="L12" s="6">
        <v>1000</v>
      </c>
      <c r="M12" s="6">
        <v>0</v>
      </c>
      <c r="N12" s="6">
        <v>19000</v>
      </c>
      <c r="O12" s="9"/>
      <c r="P12" s="6">
        <v>0</v>
      </c>
      <c r="Q12" s="6">
        <v>0</v>
      </c>
      <c r="R12" s="6">
        <v>3000</v>
      </c>
      <c r="S12" s="6">
        <v>0</v>
      </c>
      <c r="T12" s="9"/>
      <c r="U12" s="6">
        <v>43000</v>
      </c>
      <c r="V12" s="2">
        <v>0</v>
      </c>
      <c r="W12" s="1" t="s">
        <v>39</v>
      </c>
      <c r="X12" s="1" t="s">
        <v>32</v>
      </c>
      <c r="Y12" s="1" t="s">
        <v>33</v>
      </c>
      <c r="Z12" s="2">
        <v>522</v>
      </c>
      <c r="AA12" s="10">
        <f t="shared" si="0"/>
        <v>66100</v>
      </c>
    </row>
    <row r="13" spans="1:27" x14ac:dyDescent="0.25">
      <c r="A13" s="1" t="s">
        <v>26</v>
      </c>
      <c r="B13" s="1" t="s">
        <v>27</v>
      </c>
      <c r="C13" s="1" t="s">
        <v>41</v>
      </c>
      <c r="D13" s="1" t="s">
        <v>29</v>
      </c>
      <c r="E13" s="1" t="s">
        <v>30</v>
      </c>
      <c r="F13" s="1" t="s">
        <v>29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400</v>
      </c>
      <c r="M13" s="6">
        <v>0</v>
      </c>
      <c r="N13" s="6">
        <v>5929</v>
      </c>
      <c r="O13" s="9"/>
      <c r="P13" s="6">
        <v>0</v>
      </c>
      <c r="Q13" s="6">
        <v>0</v>
      </c>
      <c r="R13" s="6">
        <v>500</v>
      </c>
      <c r="S13" s="6">
        <v>0</v>
      </c>
      <c r="T13" s="9"/>
      <c r="U13" s="6">
        <v>2134</v>
      </c>
      <c r="V13" s="2">
        <v>0</v>
      </c>
      <c r="W13" s="1" t="s">
        <v>39</v>
      </c>
      <c r="X13" s="1" t="s">
        <v>32</v>
      </c>
      <c r="Y13" s="1" t="s">
        <v>33</v>
      </c>
      <c r="Z13" s="2">
        <v>658</v>
      </c>
      <c r="AA13" s="10">
        <f t="shared" si="0"/>
        <v>8963</v>
      </c>
    </row>
    <row r="14" spans="1:27" x14ac:dyDescent="0.25">
      <c r="A14" s="1" t="s">
        <v>26</v>
      </c>
      <c r="B14" s="1" t="s">
        <v>27</v>
      </c>
      <c r="C14" s="1" t="s">
        <v>42</v>
      </c>
      <c r="D14" s="1" t="s">
        <v>29</v>
      </c>
      <c r="E14" s="1" t="s">
        <v>30</v>
      </c>
      <c r="F14" s="1" t="s">
        <v>29</v>
      </c>
      <c r="G14" s="6">
        <v>0</v>
      </c>
      <c r="H14" s="6">
        <v>0</v>
      </c>
      <c r="I14" s="6">
        <v>313</v>
      </c>
      <c r="J14" s="6">
        <v>0</v>
      </c>
      <c r="K14" s="6">
        <v>313</v>
      </c>
      <c r="L14" s="6">
        <v>250</v>
      </c>
      <c r="M14" s="6">
        <v>0</v>
      </c>
      <c r="N14" s="6">
        <v>8400</v>
      </c>
      <c r="O14" s="9"/>
      <c r="P14" s="6">
        <v>0</v>
      </c>
      <c r="Q14" s="6">
        <v>0</v>
      </c>
      <c r="R14" s="6">
        <v>0</v>
      </c>
      <c r="S14" s="6">
        <v>0</v>
      </c>
      <c r="T14" s="9"/>
      <c r="U14" s="6">
        <v>1037</v>
      </c>
      <c r="V14" s="2">
        <v>0</v>
      </c>
      <c r="W14" s="1" t="s">
        <v>39</v>
      </c>
      <c r="X14" s="1" t="s">
        <v>32</v>
      </c>
      <c r="Y14" s="1" t="s">
        <v>33</v>
      </c>
      <c r="Z14" s="2">
        <v>808</v>
      </c>
      <c r="AA14" s="10">
        <f t="shared" si="0"/>
        <v>10000</v>
      </c>
    </row>
    <row r="15" spans="1:27" x14ac:dyDescent="0.25">
      <c r="A15" s="1" t="s">
        <v>26</v>
      </c>
      <c r="B15" s="1" t="s">
        <v>27</v>
      </c>
      <c r="C15" s="1" t="s">
        <v>43</v>
      </c>
      <c r="D15" s="1" t="s">
        <v>29</v>
      </c>
      <c r="E15" s="1" t="s">
        <v>30</v>
      </c>
      <c r="F15" s="1" t="s">
        <v>29</v>
      </c>
      <c r="G15" s="6">
        <v>0</v>
      </c>
      <c r="H15" s="6">
        <v>0</v>
      </c>
      <c r="I15" s="6">
        <v>184</v>
      </c>
      <c r="J15" s="6">
        <v>0</v>
      </c>
      <c r="K15" s="6">
        <v>184</v>
      </c>
      <c r="L15" s="6">
        <v>50</v>
      </c>
      <c r="M15" s="6">
        <v>0</v>
      </c>
      <c r="N15" s="6">
        <v>5266</v>
      </c>
      <c r="O15" s="9"/>
      <c r="P15" s="6">
        <v>0</v>
      </c>
      <c r="Q15" s="6">
        <v>0</v>
      </c>
      <c r="R15" s="6">
        <v>1750</v>
      </c>
      <c r="S15" s="6">
        <v>0</v>
      </c>
      <c r="T15" s="9"/>
      <c r="U15" s="6">
        <v>0</v>
      </c>
      <c r="V15" s="2">
        <v>0</v>
      </c>
      <c r="W15" s="1" t="s">
        <v>39</v>
      </c>
      <c r="X15" s="1" t="s">
        <v>32</v>
      </c>
      <c r="Y15" s="1" t="s">
        <v>33</v>
      </c>
      <c r="Z15" s="2">
        <v>964</v>
      </c>
      <c r="AA15" s="10">
        <f t="shared" si="0"/>
        <v>7250</v>
      </c>
    </row>
    <row r="16" spans="1:27" x14ac:dyDescent="0.25">
      <c r="A16" s="1" t="s">
        <v>26</v>
      </c>
      <c r="B16" s="1" t="s">
        <v>27</v>
      </c>
      <c r="C16" s="1" t="s">
        <v>44</v>
      </c>
      <c r="D16" s="1" t="s">
        <v>29</v>
      </c>
      <c r="E16" s="1" t="s">
        <v>30</v>
      </c>
      <c r="F16" s="1" t="s">
        <v>29</v>
      </c>
      <c r="G16" s="6">
        <v>0</v>
      </c>
      <c r="H16" s="6">
        <v>0</v>
      </c>
      <c r="I16" s="6">
        <v>107</v>
      </c>
      <c r="J16" s="6">
        <v>0</v>
      </c>
      <c r="K16" s="6">
        <v>107</v>
      </c>
      <c r="L16" s="6">
        <v>50</v>
      </c>
      <c r="M16" s="6">
        <v>0</v>
      </c>
      <c r="N16" s="6">
        <v>18070</v>
      </c>
      <c r="O16" s="9"/>
      <c r="P16" s="6">
        <v>0</v>
      </c>
      <c r="Q16" s="6">
        <v>0</v>
      </c>
      <c r="R16" s="6">
        <v>4517</v>
      </c>
      <c r="S16" s="6">
        <v>0</v>
      </c>
      <c r="T16" s="9"/>
      <c r="U16" s="6">
        <v>0</v>
      </c>
      <c r="V16" s="2">
        <v>0</v>
      </c>
      <c r="W16" s="1" t="s">
        <v>39</v>
      </c>
      <c r="X16" s="1" t="s">
        <v>32</v>
      </c>
      <c r="Y16" s="1" t="s">
        <v>33</v>
      </c>
      <c r="Z16" s="2">
        <v>1117</v>
      </c>
      <c r="AA16" s="10">
        <f t="shared" si="0"/>
        <v>22744</v>
      </c>
    </row>
    <row r="17" spans="1:27" x14ac:dyDescent="0.25">
      <c r="A17" s="1" t="s">
        <v>26</v>
      </c>
      <c r="B17" s="1" t="s">
        <v>27</v>
      </c>
      <c r="C17" s="1" t="s">
        <v>49</v>
      </c>
      <c r="D17" s="1" t="s">
        <v>29</v>
      </c>
      <c r="E17" s="1" t="s">
        <v>30</v>
      </c>
      <c r="F17" s="1" t="s">
        <v>29</v>
      </c>
      <c r="G17" s="6">
        <v>0</v>
      </c>
      <c r="H17" s="6">
        <v>0</v>
      </c>
      <c r="I17" s="6">
        <v>87</v>
      </c>
      <c r="J17" s="6">
        <v>0</v>
      </c>
      <c r="K17" s="6">
        <v>87</v>
      </c>
      <c r="L17" s="6">
        <v>88</v>
      </c>
      <c r="M17" s="6">
        <v>0</v>
      </c>
      <c r="N17" s="6">
        <v>10246</v>
      </c>
      <c r="O17" s="9"/>
      <c r="P17" s="6">
        <v>0</v>
      </c>
      <c r="Q17" s="6">
        <v>0</v>
      </c>
      <c r="R17" s="6">
        <v>8419</v>
      </c>
      <c r="S17" s="6">
        <v>0</v>
      </c>
      <c r="T17" s="9"/>
      <c r="U17" s="6">
        <v>0</v>
      </c>
      <c r="V17" s="2">
        <v>0</v>
      </c>
      <c r="W17" s="1" t="s">
        <v>39</v>
      </c>
      <c r="X17" s="1" t="s">
        <v>32</v>
      </c>
      <c r="Y17" s="1" t="s">
        <v>33</v>
      </c>
      <c r="Z17" s="2">
        <v>5455</v>
      </c>
      <c r="AA17" s="10">
        <f t="shared" si="0"/>
        <v>18840</v>
      </c>
    </row>
    <row r="18" spans="1:27" x14ac:dyDescent="0.25">
      <c r="A18" s="1" t="s">
        <v>26</v>
      </c>
      <c r="B18" s="1" t="s">
        <v>27</v>
      </c>
      <c r="C18" s="1" t="s">
        <v>45</v>
      </c>
      <c r="D18" s="1" t="s">
        <v>29</v>
      </c>
      <c r="E18" s="1" t="s">
        <v>30</v>
      </c>
      <c r="F18" s="1" t="s">
        <v>29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28</v>
      </c>
      <c r="M18" s="6">
        <v>0</v>
      </c>
      <c r="N18" s="6">
        <v>2552</v>
      </c>
      <c r="O18" s="9"/>
      <c r="P18" s="6">
        <v>0</v>
      </c>
      <c r="Q18" s="6">
        <v>0</v>
      </c>
      <c r="R18" s="6">
        <v>1177</v>
      </c>
      <c r="S18" s="6">
        <v>0</v>
      </c>
      <c r="T18" s="9"/>
      <c r="U18" s="6">
        <v>0</v>
      </c>
      <c r="V18" s="2">
        <v>0</v>
      </c>
      <c r="W18" s="1" t="s">
        <v>39</v>
      </c>
      <c r="X18" s="1" t="s">
        <v>32</v>
      </c>
      <c r="Y18" s="1" t="s">
        <v>33</v>
      </c>
      <c r="Z18" s="2">
        <v>1420</v>
      </c>
      <c r="AA18" s="10">
        <f t="shared" si="0"/>
        <v>3757</v>
      </c>
    </row>
    <row r="19" spans="1:27" x14ac:dyDescent="0.25">
      <c r="A19" s="1" t="s">
        <v>26</v>
      </c>
      <c r="B19" s="1" t="s">
        <v>27</v>
      </c>
      <c r="C19" s="1" t="s">
        <v>46</v>
      </c>
      <c r="D19" s="1" t="s">
        <v>29</v>
      </c>
      <c r="E19" s="1" t="s">
        <v>30</v>
      </c>
      <c r="F19" s="1" t="s">
        <v>29</v>
      </c>
      <c r="G19" s="6">
        <v>148037</v>
      </c>
      <c r="H19" s="6">
        <v>0</v>
      </c>
      <c r="I19" s="6">
        <v>0</v>
      </c>
      <c r="J19" s="6">
        <v>0</v>
      </c>
      <c r="K19" s="6">
        <v>148037</v>
      </c>
      <c r="L19" s="6">
        <v>200</v>
      </c>
      <c r="M19" s="6">
        <v>0</v>
      </c>
      <c r="N19" s="6">
        <v>26208</v>
      </c>
      <c r="O19" s="9"/>
      <c r="P19" s="6">
        <v>0</v>
      </c>
      <c r="Q19" s="6">
        <v>0</v>
      </c>
      <c r="R19" s="6">
        <v>36000</v>
      </c>
      <c r="S19" s="6">
        <v>0</v>
      </c>
      <c r="T19" s="9"/>
      <c r="U19" s="6">
        <v>82274</v>
      </c>
      <c r="V19" s="2">
        <v>0</v>
      </c>
      <c r="W19" s="1" t="s">
        <v>39</v>
      </c>
      <c r="X19" s="1" t="s">
        <v>32</v>
      </c>
      <c r="Y19" s="1" t="s">
        <v>33</v>
      </c>
      <c r="Z19" s="2">
        <v>1591</v>
      </c>
      <c r="AA19" s="10">
        <f t="shared" si="0"/>
        <v>292719</v>
      </c>
    </row>
    <row r="20" spans="1:27" x14ac:dyDescent="0.25">
      <c r="A20" s="1" t="s">
        <v>26</v>
      </c>
      <c r="B20" s="1" t="s">
        <v>27</v>
      </c>
      <c r="C20" s="1" t="s">
        <v>47</v>
      </c>
      <c r="D20" s="1" t="s">
        <v>29</v>
      </c>
      <c r="E20" s="1" t="s">
        <v>30</v>
      </c>
      <c r="F20" s="1" t="s">
        <v>29</v>
      </c>
      <c r="G20" s="6">
        <v>3197</v>
      </c>
      <c r="H20" s="6">
        <v>422</v>
      </c>
      <c r="I20" s="6">
        <v>0</v>
      </c>
      <c r="J20" s="6">
        <v>0</v>
      </c>
      <c r="K20" s="6">
        <v>3619</v>
      </c>
      <c r="L20" s="6">
        <v>25</v>
      </c>
      <c r="M20" s="6">
        <v>0</v>
      </c>
      <c r="N20" s="6">
        <v>8284</v>
      </c>
      <c r="O20" s="9"/>
      <c r="P20" s="6">
        <v>7795</v>
      </c>
      <c r="Q20" s="6">
        <v>0</v>
      </c>
      <c r="R20" s="6">
        <v>4200</v>
      </c>
      <c r="S20" s="6">
        <v>0</v>
      </c>
      <c r="T20" s="9"/>
      <c r="U20" s="6">
        <v>0</v>
      </c>
      <c r="V20" s="2">
        <v>0</v>
      </c>
      <c r="W20" s="1" t="s">
        <v>39</v>
      </c>
      <c r="X20" s="1" t="s">
        <v>32</v>
      </c>
      <c r="Y20" s="1" t="s">
        <v>33</v>
      </c>
      <c r="Z20" s="2">
        <v>1759</v>
      </c>
      <c r="AA20" s="10">
        <f t="shared" si="0"/>
        <v>23923</v>
      </c>
    </row>
    <row r="21" spans="1:27" x14ac:dyDescent="0.25">
      <c r="A21" s="1" t="s">
        <v>26</v>
      </c>
      <c r="B21" s="1" t="s">
        <v>27</v>
      </c>
      <c r="C21" s="1" t="s">
        <v>48</v>
      </c>
      <c r="D21" s="1" t="s">
        <v>29</v>
      </c>
      <c r="E21" s="1" t="s">
        <v>30</v>
      </c>
      <c r="F21" s="1" t="s">
        <v>29</v>
      </c>
      <c r="G21" s="6">
        <v>171000</v>
      </c>
      <c r="H21" s="6">
        <v>0</v>
      </c>
      <c r="I21" s="6">
        <v>0</v>
      </c>
      <c r="J21" s="6">
        <v>0</v>
      </c>
      <c r="K21" s="6">
        <v>171000</v>
      </c>
      <c r="L21" s="6">
        <v>175</v>
      </c>
      <c r="M21" s="6">
        <v>0</v>
      </c>
      <c r="N21" s="6">
        <v>9205</v>
      </c>
      <c r="O21" s="9"/>
      <c r="P21" s="6">
        <v>22492</v>
      </c>
      <c r="Q21" s="6">
        <v>0</v>
      </c>
      <c r="R21" s="6">
        <v>168000</v>
      </c>
      <c r="S21" s="6">
        <v>0</v>
      </c>
      <c r="T21" s="9"/>
      <c r="U21" s="6">
        <v>19512</v>
      </c>
      <c r="V21" s="2">
        <v>0</v>
      </c>
      <c r="W21" s="1" t="s">
        <v>39</v>
      </c>
      <c r="X21" s="1" t="s">
        <v>32</v>
      </c>
      <c r="Y21" s="1" t="s">
        <v>33</v>
      </c>
      <c r="Z21" s="2">
        <v>5348</v>
      </c>
      <c r="AA21" s="10">
        <f t="shared" si="0"/>
        <v>390384</v>
      </c>
    </row>
    <row r="22" spans="1:27" x14ac:dyDescent="0.25">
      <c r="A22" s="1" t="s">
        <v>26</v>
      </c>
      <c r="B22" s="1" t="s">
        <v>27</v>
      </c>
      <c r="C22" s="1" t="s">
        <v>50</v>
      </c>
      <c r="D22" s="1" t="s">
        <v>29</v>
      </c>
      <c r="E22" s="1" t="s">
        <v>30</v>
      </c>
      <c r="F22" s="1" t="s">
        <v>29</v>
      </c>
      <c r="G22" s="6">
        <v>127632</v>
      </c>
      <c r="H22" s="6">
        <v>0</v>
      </c>
      <c r="I22" s="6">
        <v>0</v>
      </c>
      <c r="J22" s="6">
        <v>0</v>
      </c>
      <c r="K22" s="6">
        <v>127632</v>
      </c>
      <c r="L22" s="6">
        <v>130</v>
      </c>
      <c r="M22" s="6">
        <v>0</v>
      </c>
      <c r="N22" s="6">
        <v>67690</v>
      </c>
      <c r="O22" s="9"/>
      <c r="P22" s="6">
        <v>0</v>
      </c>
      <c r="Q22" s="6">
        <v>0</v>
      </c>
      <c r="R22" s="6">
        <v>235000</v>
      </c>
      <c r="S22" s="6">
        <v>0</v>
      </c>
      <c r="T22" s="9"/>
      <c r="U22" s="6">
        <v>16473</v>
      </c>
      <c r="V22" s="2">
        <v>0</v>
      </c>
      <c r="W22" s="1" t="s">
        <v>39</v>
      </c>
      <c r="X22" s="1" t="s">
        <v>32</v>
      </c>
      <c r="Y22" s="1" t="s">
        <v>33</v>
      </c>
      <c r="Z22" s="2">
        <v>5575</v>
      </c>
      <c r="AA22" s="10">
        <f t="shared" si="0"/>
        <v>446925</v>
      </c>
    </row>
    <row r="23" spans="1:27" x14ac:dyDescent="0.25">
      <c r="A23" s="1" t="s">
        <v>26</v>
      </c>
      <c r="B23" s="1" t="s">
        <v>27</v>
      </c>
      <c r="C23" s="1" t="s">
        <v>51</v>
      </c>
      <c r="D23" s="1" t="s">
        <v>29</v>
      </c>
      <c r="E23" s="1" t="s">
        <v>30</v>
      </c>
      <c r="F23" s="1" t="s">
        <v>29</v>
      </c>
      <c r="G23" s="6">
        <v>62199</v>
      </c>
      <c r="H23" s="6">
        <v>9000</v>
      </c>
      <c r="I23" s="6">
        <v>5625</v>
      </c>
      <c r="J23" s="6">
        <v>0</v>
      </c>
      <c r="K23" s="6">
        <v>0</v>
      </c>
      <c r="L23" s="6">
        <v>1875</v>
      </c>
      <c r="M23" s="6">
        <v>0</v>
      </c>
      <c r="N23" s="6">
        <v>12034</v>
      </c>
      <c r="O23" s="9"/>
      <c r="P23" s="6">
        <v>4418</v>
      </c>
      <c r="Q23" s="6">
        <v>0</v>
      </c>
      <c r="R23" s="6">
        <v>25000</v>
      </c>
      <c r="S23" s="6">
        <v>0</v>
      </c>
      <c r="T23" s="9"/>
      <c r="U23" s="6">
        <v>122704</v>
      </c>
      <c r="V23" s="2">
        <v>0</v>
      </c>
      <c r="W23" s="1" t="s">
        <v>39</v>
      </c>
      <c r="X23" s="1" t="s">
        <v>32</v>
      </c>
      <c r="Y23" s="1" t="s">
        <v>33</v>
      </c>
      <c r="Z23" s="2">
        <v>5763</v>
      </c>
      <c r="AA23" s="10">
        <f t="shared" si="0"/>
        <v>242855</v>
      </c>
    </row>
    <row r="24" spans="1:27" x14ac:dyDescent="0.25">
      <c r="A24" s="1" t="s">
        <v>26</v>
      </c>
      <c r="B24" s="1" t="s">
        <v>27</v>
      </c>
      <c r="C24" s="1" t="s">
        <v>52</v>
      </c>
      <c r="D24" s="1" t="s">
        <v>29</v>
      </c>
      <c r="E24" s="1" t="s">
        <v>30</v>
      </c>
      <c r="F24" s="1" t="s">
        <v>29</v>
      </c>
      <c r="G24" s="6">
        <v>18662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7526</v>
      </c>
      <c r="O24" s="9"/>
      <c r="P24" s="6">
        <v>2684</v>
      </c>
      <c r="Q24" s="6">
        <v>0</v>
      </c>
      <c r="R24" s="6">
        <v>0</v>
      </c>
      <c r="S24" s="6">
        <v>0</v>
      </c>
      <c r="T24" s="9"/>
      <c r="U24" s="6">
        <v>98253</v>
      </c>
      <c r="V24" s="2">
        <v>0</v>
      </c>
      <c r="W24" s="1" t="s">
        <v>39</v>
      </c>
      <c r="X24" s="1" t="s">
        <v>32</v>
      </c>
      <c r="Y24" s="1" t="s">
        <v>33</v>
      </c>
      <c r="Z24" s="2">
        <v>6012</v>
      </c>
      <c r="AA24" s="10">
        <f t="shared" si="0"/>
        <v>127125</v>
      </c>
    </row>
    <row r="25" spans="1:27" x14ac:dyDescent="0.25">
      <c r="A25" s="1" t="s">
        <v>26</v>
      </c>
      <c r="B25" s="1" t="s">
        <v>27</v>
      </c>
      <c r="C25" s="1" t="s">
        <v>53</v>
      </c>
      <c r="D25" s="1" t="s">
        <v>29</v>
      </c>
      <c r="E25" s="1" t="s">
        <v>30</v>
      </c>
      <c r="F25" s="1" t="s">
        <v>29</v>
      </c>
      <c r="G25" s="6">
        <v>68040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3160</v>
      </c>
      <c r="O25" s="9"/>
      <c r="P25" s="6">
        <v>0</v>
      </c>
      <c r="Q25" s="6">
        <v>0</v>
      </c>
      <c r="R25" s="6">
        <v>0</v>
      </c>
      <c r="S25" s="6">
        <v>0</v>
      </c>
      <c r="T25" s="9"/>
      <c r="U25" s="6">
        <v>114460</v>
      </c>
      <c r="V25" s="2">
        <v>0</v>
      </c>
      <c r="W25" s="1" t="s">
        <v>39</v>
      </c>
      <c r="X25" s="1" t="s">
        <v>32</v>
      </c>
      <c r="Y25" s="1" t="s">
        <v>33</v>
      </c>
      <c r="Z25" s="2">
        <v>6115</v>
      </c>
      <c r="AA25" s="10">
        <f t="shared" si="0"/>
        <v>185660</v>
      </c>
    </row>
    <row r="26" spans="1:27" ht="15" customHeight="1" x14ac:dyDescent="0.25">
      <c r="A26" s="1" t="s">
        <v>26</v>
      </c>
      <c r="B26" s="1" t="s">
        <v>27</v>
      </c>
      <c r="C26" s="1" t="s">
        <v>54</v>
      </c>
      <c r="D26" s="1" t="s">
        <v>29</v>
      </c>
      <c r="E26" s="1" t="s">
        <v>30</v>
      </c>
      <c r="F26" s="1" t="s">
        <v>29</v>
      </c>
      <c r="G26" s="6">
        <v>50092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3601</v>
      </c>
      <c r="O26" s="9"/>
      <c r="P26" s="6">
        <v>0</v>
      </c>
      <c r="Q26" s="6">
        <v>0</v>
      </c>
      <c r="R26" s="6">
        <v>2974</v>
      </c>
      <c r="S26" s="6">
        <v>0</v>
      </c>
      <c r="T26" s="9"/>
      <c r="U26" s="6">
        <v>5948</v>
      </c>
      <c r="V26" s="2">
        <v>0</v>
      </c>
      <c r="W26" s="1" t="s">
        <v>39</v>
      </c>
      <c r="X26" s="1" t="s">
        <v>32</v>
      </c>
      <c r="Y26" s="1" t="s">
        <v>33</v>
      </c>
      <c r="Z26" s="2">
        <v>6193</v>
      </c>
      <c r="AA26" s="10">
        <f t="shared" si="0"/>
        <v>62615</v>
      </c>
    </row>
    <row r="27" spans="1:27" ht="15" customHeight="1" x14ac:dyDescent="0.25">
      <c r="A27" s="1" t="s">
        <v>26</v>
      </c>
      <c r="B27" s="1" t="s">
        <v>27</v>
      </c>
      <c r="C27" s="1" t="s">
        <v>55</v>
      </c>
      <c r="D27" s="1" t="s">
        <v>29</v>
      </c>
      <c r="E27" s="1" t="s">
        <v>30</v>
      </c>
      <c r="F27" s="1" t="s">
        <v>29</v>
      </c>
      <c r="G27" s="6">
        <v>41934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2440</v>
      </c>
      <c r="O27" s="9"/>
      <c r="P27" s="6">
        <v>70</v>
      </c>
      <c r="Q27" s="6">
        <v>0</v>
      </c>
      <c r="R27" s="6">
        <v>0</v>
      </c>
      <c r="S27" s="6">
        <v>0</v>
      </c>
      <c r="T27" s="9"/>
      <c r="U27" s="6">
        <v>0</v>
      </c>
      <c r="V27" s="2">
        <v>0</v>
      </c>
      <c r="W27" s="1" t="s">
        <v>56</v>
      </c>
      <c r="X27" s="1" t="s">
        <v>32</v>
      </c>
      <c r="Y27" s="1" t="s">
        <v>33</v>
      </c>
      <c r="Z27" s="2">
        <v>6363</v>
      </c>
      <c r="AA27" s="10">
        <f t="shared" si="0"/>
        <v>44444</v>
      </c>
    </row>
    <row r="28" spans="1:27" ht="15" customHeight="1" x14ac:dyDescent="0.25">
      <c r="A28" s="1" t="s">
        <v>26</v>
      </c>
      <c r="B28" s="1" t="s">
        <v>27</v>
      </c>
      <c r="C28" s="1" t="s">
        <v>59</v>
      </c>
      <c r="D28" s="1" t="s">
        <v>29</v>
      </c>
      <c r="E28" s="1" t="s">
        <v>30</v>
      </c>
      <c r="F28" s="1" t="s">
        <v>29</v>
      </c>
      <c r="G28" s="6">
        <v>0</v>
      </c>
      <c r="H28" s="6">
        <v>0</v>
      </c>
      <c r="I28" s="6">
        <v>0</v>
      </c>
      <c r="J28" s="6">
        <v>0</v>
      </c>
      <c r="K28" s="8">
        <v>0</v>
      </c>
      <c r="L28" s="6">
        <v>0</v>
      </c>
      <c r="M28" s="6">
        <v>0</v>
      </c>
      <c r="N28" s="6">
        <v>909</v>
      </c>
      <c r="O28" s="7"/>
      <c r="P28" s="6">
        <v>201</v>
      </c>
      <c r="Q28" s="6">
        <v>0</v>
      </c>
      <c r="R28" s="6">
        <v>100000</v>
      </c>
      <c r="S28" s="6">
        <v>0</v>
      </c>
      <c r="T28" s="7"/>
      <c r="U28" s="6">
        <v>0</v>
      </c>
      <c r="V28" s="2">
        <v>0</v>
      </c>
      <c r="W28" s="1" t="s">
        <v>39</v>
      </c>
      <c r="X28" s="1" t="s">
        <v>32</v>
      </c>
      <c r="Y28" s="1" t="s">
        <v>33</v>
      </c>
      <c r="Z28" s="2">
        <v>6694</v>
      </c>
      <c r="AA28" s="10">
        <f t="shared" si="0"/>
        <v>101110</v>
      </c>
    </row>
    <row r="29" spans="1:27" ht="15" customHeight="1" x14ac:dyDescent="0.25">
      <c r="A29" s="1" t="s">
        <v>26</v>
      </c>
      <c r="B29" s="1" t="s">
        <v>27</v>
      </c>
      <c r="C29" s="1" t="s">
        <v>57</v>
      </c>
      <c r="D29" s="1" t="s">
        <v>29</v>
      </c>
      <c r="E29" s="1" t="s">
        <v>30</v>
      </c>
      <c r="F29" s="1" t="s">
        <v>29</v>
      </c>
      <c r="G29" s="6">
        <v>41400</v>
      </c>
      <c r="H29" s="6">
        <v>0</v>
      </c>
      <c r="I29" s="6">
        <v>0</v>
      </c>
      <c r="J29" s="6">
        <v>0</v>
      </c>
      <c r="K29" s="8">
        <v>0</v>
      </c>
      <c r="L29" s="6">
        <v>0</v>
      </c>
      <c r="M29" s="6">
        <v>0</v>
      </c>
      <c r="N29" s="6">
        <v>2726</v>
      </c>
      <c r="O29" s="7"/>
      <c r="P29" s="6">
        <v>0</v>
      </c>
      <c r="Q29" s="6">
        <v>0</v>
      </c>
      <c r="R29" s="6">
        <v>47874</v>
      </c>
      <c r="S29" s="6">
        <v>0</v>
      </c>
      <c r="T29" s="7"/>
      <c r="U29" s="6">
        <v>0</v>
      </c>
      <c r="V29" s="2">
        <v>0</v>
      </c>
      <c r="W29" s="1" t="s">
        <v>58</v>
      </c>
      <c r="X29" s="1" t="s">
        <v>32</v>
      </c>
      <c r="Y29" s="1" t="s">
        <v>33</v>
      </c>
      <c r="Z29" s="2">
        <v>6601</v>
      </c>
      <c r="AA29" s="10">
        <f t="shared" si="0"/>
        <v>92000</v>
      </c>
    </row>
    <row r="30" spans="1:27" ht="15" customHeight="1" x14ac:dyDescent="0.25">
      <c r="A30" s="1" t="s">
        <v>26</v>
      </c>
      <c r="B30" s="1" t="s">
        <v>27</v>
      </c>
      <c r="C30" s="1" t="s">
        <v>60</v>
      </c>
      <c r="D30" s="1" t="s">
        <v>29</v>
      </c>
      <c r="E30" s="1" t="s">
        <v>30</v>
      </c>
      <c r="F30" s="1" t="s">
        <v>29</v>
      </c>
      <c r="G30" s="6">
        <v>0</v>
      </c>
      <c r="H30" s="6">
        <v>0</v>
      </c>
      <c r="I30" s="6">
        <v>0</v>
      </c>
      <c r="J30" s="6">
        <v>0</v>
      </c>
      <c r="K30" s="8">
        <v>0</v>
      </c>
      <c r="L30" s="6">
        <v>0</v>
      </c>
      <c r="M30" s="6">
        <v>0</v>
      </c>
      <c r="N30" s="6">
        <v>1123</v>
      </c>
      <c r="O30" s="7"/>
      <c r="P30" s="6">
        <v>333</v>
      </c>
      <c r="Q30" s="6">
        <v>0</v>
      </c>
      <c r="R30" s="6">
        <v>0</v>
      </c>
      <c r="S30" s="6">
        <v>0</v>
      </c>
      <c r="T30" s="7"/>
      <c r="U30" s="6">
        <v>0</v>
      </c>
      <c r="V30" s="2">
        <v>0</v>
      </c>
      <c r="W30" s="1" t="s">
        <v>61</v>
      </c>
      <c r="X30" s="1" t="s">
        <v>32</v>
      </c>
      <c r="Y30" s="1" t="s">
        <v>33</v>
      </c>
      <c r="Z30" s="2">
        <v>6793</v>
      </c>
      <c r="AA30" s="10">
        <f t="shared" si="0"/>
        <v>1456</v>
      </c>
    </row>
    <row r="31" spans="1:27" ht="15" customHeight="1" x14ac:dyDescent="0.25">
      <c r="A31" s="1" t="s">
        <v>26</v>
      </c>
      <c r="B31" s="1" t="s">
        <v>27</v>
      </c>
      <c r="C31" s="1" t="s">
        <v>62</v>
      </c>
      <c r="D31" s="1" t="s">
        <v>29</v>
      </c>
      <c r="E31" s="1" t="s">
        <v>30</v>
      </c>
      <c r="F31" s="1" t="s">
        <v>29</v>
      </c>
      <c r="G31" s="6">
        <v>18657</v>
      </c>
      <c r="H31" s="6">
        <v>0</v>
      </c>
      <c r="I31" s="6">
        <v>0</v>
      </c>
      <c r="J31" s="6">
        <v>0</v>
      </c>
      <c r="K31" s="8">
        <v>0</v>
      </c>
      <c r="L31" s="6">
        <v>0</v>
      </c>
      <c r="M31" s="6">
        <v>0</v>
      </c>
      <c r="N31" s="6">
        <v>1416</v>
      </c>
      <c r="O31" s="7"/>
      <c r="P31" s="6">
        <v>17782</v>
      </c>
      <c r="Q31" s="6">
        <v>0</v>
      </c>
      <c r="R31" s="6">
        <v>0</v>
      </c>
      <c r="S31" s="6">
        <v>0</v>
      </c>
      <c r="T31" s="7"/>
      <c r="U31" s="6">
        <v>3605</v>
      </c>
      <c r="V31" s="2">
        <v>0</v>
      </c>
      <c r="W31" s="1" t="s">
        <v>39</v>
      </c>
      <c r="X31" s="1" t="s">
        <v>32</v>
      </c>
      <c r="Y31" s="1" t="s">
        <v>33</v>
      </c>
      <c r="Z31" s="2">
        <v>6920</v>
      </c>
      <c r="AA31" s="10">
        <f t="shared" si="0"/>
        <v>41460</v>
      </c>
    </row>
    <row r="32" spans="1:27" ht="15" customHeight="1" x14ac:dyDescent="0.25">
      <c r="A32" s="1" t="s">
        <v>26</v>
      </c>
      <c r="B32" s="1" t="s">
        <v>27</v>
      </c>
      <c r="C32" s="1" t="s">
        <v>63</v>
      </c>
      <c r="D32" s="1" t="s">
        <v>29</v>
      </c>
      <c r="E32" s="1" t="s">
        <v>30</v>
      </c>
      <c r="F32" s="1" t="s">
        <v>29</v>
      </c>
      <c r="G32" s="6">
        <v>46000</v>
      </c>
      <c r="H32" s="6">
        <v>0</v>
      </c>
      <c r="I32" s="6">
        <v>0</v>
      </c>
      <c r="J32" s="6">
        <v>0</v>
      </c>
      <c r="K32" s="8">
        <v>0</v>
      </c>
      <c r="L32" s="6">
        <v>0</v>
      </c>
      <c r="M32" s="6">
        <v>0</v>
      </c>
      <c r="N32" s="6">
        <v>5621</v>
      </c>
      <c r="O32" s="7"/>
      <c r="P32" s="6">
        <v>0</v>
      </c>
      <c r="Q32" s="6">
        <v>0</v>
      </c>
      <c r="R32" s="6">
        <v>0</v>
      </c>
      <c r="S32" s="6">
        <v>0</v>
      </c>
      <c r="T32" s="7"/>
      <c r="U32" s="6">
        <v>51294</v>
      </c>
      <c r="V32" s="2">
        <v>0</v>
      </c>
      <c r="W32" s="1" t="s">
        <v>64</v>
      </c>
      <c r="X32" s="1" t="s">
        <v>32</v>
      </c>
      <c r="Y32" s="1" t="s">
        <v>33</v>
      </c>
      <c r="Z32" s="2">
        <v>6964</v>
      </c>
      <c r="AA32" s="10">
        <f t="shared" si="0"/>
        <v>102915</v>
      </c>
    </row>
    <row r="33" spans="1:27" ht="15" customHeight="1" x14ac:dyDescent="0.25">
      <c r="A33" s="1" t="s">
        <v>26</v>
      </c>
      <c r="B33" s="1" t="s">
        <v>27</v>
      </c>
      <c r="C33" s="1" t="s">
        <v>65</v>
      </c>
      <c r="D33" s="1" t="s">
        <v>29</v>
      </c>
      <c r="E33" s="1" t="s">
        <v>30</v>
      </c>
      <c r="F33" s="1" t="s">
        <v>29</v>
      </c>
      <c r="G33" s="6">
        <v>50495</v>
      </c>
      <c r="H33" s="6">
        <v>0</v>
      </c>
      <c r="I33" s="6">
        <v>0</v>
      </c>
      <c r="J33" s="6">
        <v>0</v>
      </c>
      <c r="K33" s="8">
        <v>0</v>
      </c>
      <c r="L33" s="6">
        <v>0</v>
      </c>
      <c r="M33" s="6">
        <v>0</v>
      </c>
      <c r="N33" s="6">
        <v>1737</v>
      </c>
      <c r="O33" s="7"/>
      <c r="P33" s="6">
        <v>0</v>
      </c>
      <c r="Q33" s="6">
        <v>0</v>
      </c>
      <c r="R33" s="6">
        <v>0</v>
      </c>
      <c r="S33" s="6">
        <v>0</v>
      </c>
      <c r="T33" s="7"/>
      <c r="U33" s="6">
        <v>59979</v>
      </c>
      <c r="V33" s="2">
        <v>0</v>
      </c>
      <c r="W33" s="1" t="s">
        <v>39</v>
      </c>
      <c r="X33" s="1" t="s">
        <v>32</v>
      </c>
      <c r="Y33" s="1" t="s">
        <v>33</v>
      </c>
      <c r="Z33" s="2">
        <v>7143</v>
      </c>
      <c r="AA33" s="10">
        <f t="shared" si="0"/>
        <v>112211</v>
      </c>
    </row>
    <row r="34" spans="1:27" ht="15" customHeight="1" x14ac:dyDescent="0.25">
      <c r="A34" s="1" t="s">
        <v>26</v>
      </c>
      <c r="B34" s="1" t="s">
        <v>66</v>
      </c>
      <c r="C34" s="1" t="s">
        <v>76</v>
      </c>
      <c r="D34" s="1" t="s">
        <v>29</v>
      </c>
      <c r="E34" s="1" t="s">
        <v>30</v>
      </c>
      <c r="F34" s="1" t="s">
        <v>29</v>
      </c>
      <c r="G34" s="6">
        <v>14560</v>
      </c>
      <c r="H34" s="6">
        <v>0</v>
      </c>
      <c r="I34" s="6">
        <v>0</v>
      </c>
      <c r="J34" s="6">
        <v>0</v>
      </c>
      <c r="K34" s="9"/>
      <c r="L34" s="6">
        <v>0</v>
      </c>
      <c r="M34" s="6">
        <v>0</v>
      </c>
      <c r="N34" s="6">
        <v>1096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16700</v>
      </c>
      <c r="V34" s="2">
        <v>0</v>
      </c>
      <c r="W34" s="1" t="s">
        <v>39</v>
      </c>
      <c r="X34" s="1" t="s">
        <v>69</v>
      </c>
      <c r="Y34" s="1" t="s">
        <v>70</v>
      </c>
      <c r="Z34" s="2">
        <v>1</v>
      </c>
      <c r="AA34" s="10">
        <f t="shared" si="0"/>
        <v>32356</v>
      </c>
    </row>
    <row r="35" spans="1:27" ht="15" customHeight="1" x14ac:dyDescent="0.25">
      <c r="A35" s="1" t="s">
        <v>26</v>
      </c>
      <c r="B35" s="1" t="s">
        <v>66</v>
      </c>
      <c r="C35" s="1" t="s">
        <v>75</v>
      </c>
      <c r="D35" s="1" t="s">
        <v>29</v>
      </c>
      <c r="E35" s="1" t="s">
        <v>30</v>
      </c>
      <c r="F35" s="1" t="s">
        <v>29</v>
      </c>
      <c r="G35" s="6">
        <v>0</v>
      </c>
      <c r="H35" s="6">
        <v>0</v>
      </c>
      <c r="I35" s="6">
        <v>0</v>
      </c>
      <c r="J35" s="6">
        <v>0</v>
      </c>
      <c r="K35" s="9"/>
      <c r="L35" s="6">
        <v>0</v>
      </c>
      <c r="M35" s="6">
        <v>0</v>
      </c>
      <c r="N35" s="6">
        <v>970</v>
      </c>
      <c r="O35" s="6">
        <v>0</v>
      </c>
      <c r="P35" s="6">
        <v>254</v>
      </c>
      <c r="Q35" s="6">
        <v>0</v>
      </c>
      <c r="R35" s="6">
        <v>0</v>
      </c>
      <c r="S35" s="6">
        <v>0</v>
      </c>
      <c r="T35" s="6">
        <v>0</v>
      </c>
      <c r="U35" s="6">
        <v>28499</v>
      </c>
      <c r="V35" s="2">
        <v>0</v>
      </c>
      <c r="W35" s="1" t="s">
        <v>39</v>
      </c>
      <c r="X35" s="1" t="s">
        <v>69</v>
      </c>
      <c r="Y35" s="1" t="s">
        <v>70</v>
      </c>
      <c r="Z35" s="2">
        <v>1</v>
      </c>
      <c r="AA35" s="10">
        <f t="shared" si="0"/>
        <v>29723</v>
      </c>
    </row>
    <row r="36" spans="1:27" ht="15" customHeight="1" x14ac:dyDescent="0.25">
      <c r="A36" s="1" t="s">
        <v>26</v>
      </c>
      <c r="B36" s="1" t="s">
        <v>66</v>
      </c>
      <c r="C36" s="1" t="s">
        <v>74</v>
      </c>
      <c r="D36" s="1" t="s">
        <v>29</v>
      </c>
      <c r="E36" s="1" t="s">
        <v>30</v>
      </c>
      <c r="F36" s="1" t="s">
        <v>68</v>
      </c>
      <c r="G36" s="6">
        <v>0</v>
      </c>
      <c r="H36" s="6">
        <v>0</v>
      </c>
      <c r="I36" s="6">
        <v>0</v>
      </c>
      <c r="J36" s="6">
        <v>0</v>
      </c>
      <c r="K36" s="9"/>
      <c r="L36" s="6">
        <v>0</v>
      </c>
      <c r="M36" s="6">
        <v>0</v>
      </c>
      <c r="N36" s="6">
        <v>5838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103000</v>
      </c>
      <c r="V36" s="2">
        <v>0</v>
      </c>
      <c r="W36" s="1" t="s">
        <v>39</v>
      </c>
      <c r="X36" s="1" t="s">
        <v>69</v>
      </c>
      <c r="Y36" s="1" t="s">
        <v>70</v>
      </c>
      <c r="Z36" s="2">
        <v>1</v>
      </c>
      <c r="AA36" s="10">
        <f t="shared" si="0"/>
        <v>108838</v>
      </c>
    </row>
    <row r="37" spans="1:27" ht="15" customHeight="1" x14ac:dyDescent="0.25">
      <c r="A37" s="1" t="s">
        <v>26</v>
      </c>
      <c r="B37" s="1" t="s">
        <v>66</v>
      </c>
      <c r="C37" s="1" t="s">
        <v>73</v>
      </c>
      <c r="D37" s="1" t="s">
        <v>29</v>
      </c>
      <c r="E37" s="1" t="s">
        <v>30</v>
      </c>
      <c r="F37" s="1" t="s">
        <v>68</v>
      </c>
      <c r="G37" s="6">
        <v>0</v>
      </c>
      <c r="H37" s="6">
        <v>0</v>
      </c>
      <c r="I37" s="6">
        <v>0</v>
      </c>
      <c r="J37" s="6">
        <v>0</v>
      </c>
      <c r="K37" s="9"/>
      <c r="L37" s="6">
        <v>0</v>
      </c>
      <c r="M37" s="6">
        <v>0</v>
      </c>
      <c r="N37" s="6">
        <v>4928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52168</v>
      </c>
      <c r="V37" s="2">
        <v>0</v>
      </c>
      <c r="W37" s="1" t="s">
        <v>39</v>
      </c>
      <c r="X37" s="1" t="s">
        <v>69</v>
      </c>
      <c r="Y37" s="1" t="s">
        <v>70</v>
      </c>
      <c r="Z37" s="2">
        <v>1</v>
      </c>
      <c r="AA37" s="10">
        <f t="shared" si="0"/>
        <v>57096</v>
      </c>
    </row>
    <row r="38" spans="1:27" ht="15" customHeight="1" x14ac:dyDescent="0.25">
      <c r="A38" s="1" t="s">
        <v>26</v>
      </c>
      <c r="B38" s="1" t="s">
        <v>66</v>
      </c>
      <c r="C38" s="1" t="s">
        <v>96</v>
      </c>
      <c r="D38" s="1" t="s">
        <v>29</v>
      </c>
      <c r="E38" s="1" t="s">
        <v>30</v>
      </c>
      <c r="F38" s="1" t="s">
        <v>68</v>
      </c>
      <c r="G38" s="6">
        <v>0</v>
      </c>
      <c r="H38" s="6">
        <v>0</v>
      </c>
      <c r="I38" s="6">
        <v>0</v>
      </c>
      <c r="J38" s="6">
        <v>0</v>
      </c>
      <c r="K38" s="9"/>
      <c r="L38" s="6">
        <v>0</v>
      </c>
      <c r="M38" s="6">
        <v>0</v>
      </c>
      <c r="N38" s="6">
        <v>9027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188515</v>
      </c>
      <c r="V38" s="2">
        <v>0</v>
      </c>
      <c r="W38" s="1" t="s">
        <v>39</v>
      </c>
      <c r="X38" s="1" t="s">
        <v>97</v>
      </c>
      <c r="Y38" s="1" t="s">
        <v>98</v>
      </c>
      <c r="Z38" s="2">
        <v>1</v>
      </c>
      <c r="AA38" s="10">
        <f t="shared" si="0"/>
        <v>197542</v>
      </c>
    </row>
    <row r="39" spans="1:27" ht="15" customHeight="1" x14ac:dyDescent="0.25">
      <c r="A39" s="1" t="s">
        <v>26</v>
      </c>
      <c r="B39" s="1" t="s">
        <v>66</v>
      </c>
      <c r="C39" s="1" t="s">
        <v>72</v>
      </c>
      <c r="D39" s="1" t="s">
        <v>29</v>
      </c>
      <c r="E39" s="1" t="s">
        <v>30</v>
      </c>
      <c r="F39" s="1" t="s">
        <v>68</v>
      </c>
      <c r="G39" s="6">
        <v>0</v>
      </c>
      <c r="H39" s="6">
        <v>0</v>
      </c>
      <c r="I39" s="6">
        <v>0</v>
      </c>
      <c r="J39" s="6">
        <v>0</v>
      </c>
      <c r="K39" s="9"/>
      <c r="L39" s="6">
        <v>0</v>
      </c>
      <c r="M39" s="6">
        <v>0</v>
      </c>
      <c r="N39" s="6">
        <v>5485</v>
      </c>
      <c r="O39" s="6">
        <v>0</v>
      </c>
      <c r="P39" s="6">
        <v>1295</v>
      </c>
      <c r="Q39" s="6">
        <v>0</v>
      </c>
      <c r="R39" s="6">
        <v>36300</v>
      </c>
      <c r="S39" s="6">
        <v>0</v>
      </c>
      <c r="T39" s="6">
        <v>0</v>
      </c>
      <c r="U39" s="6">
        <v>60919</v>
      </c>
      <c r="V39" s="2">
        <v>0</v>
      </c>
      <c r="W39" s="1" t="s">
        <v>39</v>
      </c>
      <c r="X39" s="1" t="s">
        <v>69</v>
      </c>
      <c r="Y39" s="1" t="s">
        <v>70</v>
      </c>
      <c r="Z39" s="2">
        <v>1</v>
      </c>
      <c r="AA39" s="10">
        <f t="shared" si="0"/>
        <v>103999</v>
      </c>
    </row>
    <row r="40" spans="1:27" ht="15" customHeight="1" x14ac:dyDescent="0.25">
      <c r="A40" s="1" t="s">
        <v>26</v>
      </c>
      <c r="B40" s="1" t="s">
        <v>66</v>
      </c>
      <c r="C40" s="1" t="s">
        <v>71</v>
      </c>
      <c r="D40" s="1" t="s">
        <v>29</v>
      </c>
      <c r="E40" s="1" t="s">
        <v>30</v>
      </c>
      <c r="F40" s="1" t="s">
        <v>29</v>
      </c>
      <c r="G40" s="6">
        <v>0</v>
      </c>
      <c r="H40" s="6">
        <v>0</v>
      </c>
      <c r="I40" s="6">
        <v>0</v>
      </c>
      <c r="J40" s="6">
        <v>0</v>
      </c>
      <c r="K40" s="9"/>
      <c r="L40" s="6">
        <v>0</v>
      </c>
      <c r="M40" s="6">
        <v>0</v>
      </c>
      <c r="N40" s="6">
        <v>4520</v>
      </c>
      <c r="O40" s="6">
        <v>0</v>
      </c>
      <c r="P40" s="6">
        <v>1250</v>
      </c>
      <c r="Q40" s="6">
        <v>0</v>
      </c>
      <c r="R40" s="6">
        <v>0</v>
      </c>
      <c r="S40" s="6">
        <v>0</v>
      </c>
      <c r="T40" s="6">
        <v>0</v>
      </c>
      <c r="U40" s="6">
        <v>116411</v>
      </c>
      <c r="V40" s="2">
        <v>0</v>
      </c>
      <c r="W40" s="1" t="s">
        <v>39</v>
      </c>
      <c r="X40" s="1" t="s">
        <v>69</v>
      </c>
      <c r="Y40" s="1" t="s">
        <v>70</v>
      </c>
      <c r="Z40" s="2">
        <v>1</v>
      </c>
      <c r="AA40" s="10">
        <f t="shared" si="0"/>
        <v>122181</v>
      </c>
    </row>
    <row r="41" spans="1:27" ht="15" customHeight="1" x14ac:dyDescent="0.25">
      <c r="A41" s="1" t="s">
        <v>26</v>
      </c>
      <c r="B41" s="1" t="s">
        <v>66</v>
      </c>
      <c r="C41" s="1" t="s">
        <v>67</v>
      </c>
      <c r="D41" s="1" t="s">
        <v>29</v>
      </c>
      <c r="E41" s="1" t="s">
        <v>30</v>
      </c>
      <c r="F41" s="1" t="s">
        <v>68</v>
      </c>
      <c r="G41" s="6">
        <v>0</v>
      </c>
      <c r="H41" s="6">
        <v>0</v>
      </c>
      <c r="I41" s="6">
        <v>0</v>
      </c>
      <c r="J41" s="6">
        <v>0</v>
      </c>
      <c r="K41" s="9"/>
      <c r="L41" s="6">
        <v>0</v>
      </c>
      <c r="M41" s="6">
        <v>0</v>
      </c>
      <c r="N41" s="6">
        <v>11257</v>
      </c>
      <c r="O41" s="6">
        <v>0</v>
      </c>
      <c r="P41" s="6">
        <v>1575</v>
      </c>
      <c r="Q41" s="6">
        <v>0</v>
      </c>
      <c r="R41" s="6">
        <v>0</v>
      </c>
      <c r="S41" s="6">
        <v>0</v>
      </c>
      <c r="T41" s="6">
        <v>0</v>
      </c>
      <c r="U41" s="6">
        <v>182248</v>
      </c>
      <c r="V41" s="2">
        <v>0</v>
      </c>
      <c r="W41" s="1" t="s">
        <v>39</v>
      </c>
      <c r="X41" s="1" t="s">
        <v>69</v>
      </c>
      <c r="Y41" s="1" t="s">
        <v>70</v>
      </c>
      <c r="Z41" s="2">
        <v>1</v>
      </c>
      <c r="AA41" s="10">
        <f t="shared" si="0"/>
        <v>195080</v>
      </c>
    </row>
    <row r="42" spans="1:27" ht="15" customHeight="1" x14ac:dyDescent="0.25">
      <c r="A42" s="1" t="s">
        <v>26</v>
      </c>
      <c r="B42" s="1" t="s">
        <v>66</v>
      </c>
      <c r="C42" s="1" t="s">
        <v>77</v>
      </c>
      <c r="D42" s="1" t="s">
        <v>29</v>
      </c>
      <c r="E42" s="1" t="s">
        <v>30</v>
      </c>
      <c r="F42" s="1" t="s">
        <v>68</v>
      </c>
      <c r="G42" s="6">
        <v>0</v>
      </c>
      <c r="H42" s="6">
        <v>0</v>
      </c>
      <c r="I42" s="6">
        <v>0</v>
      </c>
      <c r="J42" s="6">
        <v>0</v>
      </c>
      <c r="K42" s="9"/>
      <c r="L42" s="6">
        <v>0</v>
      </c>
      <c r="M42" s="6">
        <v>0</v>
      </c>
      <c r="N42" s="6">
        <v>4784</v>
      </c>
      <c r="O42" s="6">
        <v>0</v>
      </c>
      <c r="P42" s="6">
        <v>93</v>
      </c>
      <c r="Q42" s="6">
        <v>0</v>
      </c>
      <c r="R42" s="6">
        <v>16725</v>
      </c>
      <c r="S42" s="6">
        <v>0</v>
      </c>
      <c r="T42" s="6">
        <v>0</v>
      </c>
      <c r="U42" s="6">
        <v>47502</v>
      </c>
      <c r="V42" s="2">
        <v>0</v>
      </c>
      <c r="W42" s="1" t="s">
        <v>39</v>
      </c>
      <c r="X42" s="1" t="s">
        <v>69</v>
      </c>
      <c r="Y42" s="1" t="s">
        <v>70</v>
      </c>
      <c r="Z42" s="2">
        <v>1</v>
      </c>
      <c r="AA42" s="10">
        <f t="shared" si="0"/>
        <v>69104</v>
      </c>
    </row>
    <row r="43" spans="1:27" ht="15" customHeight="1" x14ac:dyDescent="0.25">
      <c r="A43" s="1" t="s">
        <v>26</v>
      </c>
      <c r="B43" s="1" t="s">
        <v>66</v>
      </c>
      <c r="C43" s="1" t="s">
        <v>78</v>
      </c>
      <c r="D43" s="1" t="s">
        <v>29</v>
      </c>
      <c r="E43" s="1" t="s">
        <v>30</v>
      </c>
      <c r="F43" s="1" t="s">
        <v>68</v>
      </c>
      <c r="G43" s="6">
        <v>0</v>
      </c>
      <c r="H43" s="6">
        <v>0</v>
      </c>
      <c r="I43" s="6">
        <v>0</v>
      </c>
      <c r="J43" s="6">
        <v>0</v>
      </c>
      <c r="K43" s="9"/>
      <c r="L43" s="6">
        <v>0</v>
      </c>
      <c r="M43" s="6">
        <v>0</v>
      </c>
      <c r="N43" s="6">
        <v>5589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122120</v>
      </c>
      <c r="V43" s="2">
        <v>0</v>
      </c>
      <c r="W43" s="1" t="s">
        <v>79</v>
      </c>
      <c r="X43" s="1" t="s">
        <v>69</v>
      </c>
      <c r="Y43" s="1" t="s">
        <v>70</v>
      </c>
      <c r="Z43" s="2">
        <v>1</v>
      </c>
      <c r="AA43" s="10">
        <f t="shared" si="0"/>
        <v>127709</v>
      </c>
    </row>
    <row r="44" spans="1:27" ht="15" customHeight="1" x14ac:dyDescent="0.25">
      <c r="A44" s="1" t="s">
        <v>26</v>
      </c>
      <c r="B44" s="1" t="s">
        <v>66</v>
      </c>
      <c r="C44" s="1" t="s">
        <v>80</v>
      </c>
      <c r="D44" s="1" t="s">
        <v>29</v>
      </c>
      <c r="E44" s="1" t="s">
        <v>30</v>
      </c>
      <c r="F44" s="1" t="s">
        <v>68</v>
      </c>
      <c r="G44" s="6">
        <v>9602</v>
      </c>
      <c r="H44" s="6">
        <v>4801</v>
      </c>
      <c r="I44" s="6">
        <v>1600</v>
      </c>
      <c r="J44" s="6">
        <v>0</v>
      </c>
      <c r="K44" s="9"/>
      <c r="L44" s="6">
        <v>100</v>
      </c>
      <c r="M44" s="6">
        <v>0</v>
      </c>
      <c r="N44" s="6">
        <v>6749</v>
      </c>
      <c r="O44" s="6">
        <v>0</v>
      </c>
      <c r="P44" s="6">
        <f>1395</f>
        <v>1395</v>
      </c>
      <c r="Q44" s="6">
        <v>0</v>
      </c>
      <c r="R44" s="6">
        <v>54000</v>
      </c>
      <c r="S44" s="6">
        <v>20</v>
      </c>
      <c r="T44" s="6">
        <v>300</v>
      </c>
      <c r="U44" s="6">
        <v>113259</v>
      </c>
      <c r="V44" s="2">
        <v>0</v>
      </c>
      <c r="W44" s="1" t="s">
        <v>81</v>
      </c>
      <c r="X44" s="1" t="s">
        <v>69</v>
      </c>
      <c r="Y44" s="1" t="s">
        <v>70</v>
      </c>
      <c r="Z44" s="2">
        <v>1</v>
      </c>
      <c r="AA44" s="10">
        <f t="shared" si="0"/>
        <v>191826</v>
      </c>
    </row>
    <row r="45" spans="1:27" ht="15" customHeight="1" x14ac:dyDescent="0.25">
      <c r="A45" s="1" t="s">
        <v>26</v>
      </c>
      <c r="B45" s="1" t="s">
        <v>66</v>
      </c>
      <c r="C45" s="1" t="s">
        <v>82</v>
      </c>
      <c r="D45" s="1" t="s">
        <v>29</v>
      </c>
      <c r="E45" s="1" t="s">
        <v>30</v>
      </c>
      <c r="F45" s="1" t="s">
        <v>68</v>
      </c>
      <c r="G45" s="6">
        <v>26339</v>
      </c>
      <c r="H45" s="6">
        <v>23412</v>
      </c>
      <c r="I45" s="6">
        <v>8781</v>
      </c>
      <c r="J45" s="6">
        <v>0</v>
      </c>
      <c r="K45" s="9"/>
      <c r="L45" s="6">
        <v>354</v>
      </c>
      <c r="M45" s="10">
        <v>0</v>
      </c>
      <c r="N45" s="6">
        <v>11462</v>
      </c>
      <c r="O45" s="6">
        <v>0</v>
      </c>
      <c r="P45" s="6">
        <v>180</v>
      </c>
      <c r="Q45" s="6">
        <v>0</v>
      </c>
      <c r="R45" s="6">
        <v>20000</v>
      </c>
      <c r="S45" s="6">
        <v>50</v>
      </c>
      <c r="T45" s="6">
        <v>180</v>
      </c>
      <c r="U45" s="6">
        <v>185924</v>
      </c>
      <c r="V45" s="2">
        <v>0</v>
      </c>
      <c r="W45" s="1" t="s">
        <v>83</v>
      </c>
      <c r="X45" s="1" t="s">
        <v>69</v>
      </c>
      <c r="Y45" s="1" t="s">
        <v>70</v>
      </c>
      <c r="Z45" s="2">
        <v>1</v>
      </c>
      <c r="AA45" s="10">
        <f t="shared" si="0"/>
        <v>276682</v>
      </c>
    </row>
    <row r="46" spans="1:27" ht="15" customHeight="1" x14ac:dyDescent="0.25">
      <c r="A46" s="1" t="s">
        <v>26</v>
      </c>
      <c r="B46" s="1" t="s">
        <v>66</v>
      </c>
      <c r="C46" s="1" t="s">
        <v>90</v>
      </c>
      <c r="D46" s="1" t="s">
        <v>29</v>
      </c>
      <c r="E46" s="1" t="s">
        <v>30</v>
      </c>
      <c r="F46" s="1" t="s">
        <v>68</v>
      </c>
      <c r="G46" s="6">
        <v>70182</v>
      </c>
      <c r="H46" s="6">
        <v>51041</v>
      </c>
      <c r="I46" s="6">
        <v>6380</v>
      </c>
      <c r="J46" s="6">
        <v>0</v>
      </c>
      <c r="K46" s="9"/>
      <c r="L46" s="6">
        <v>1350</v>
      </c>
      <c r="M46" s="10">
        <v>0</v>
      </c>
      <c r="N46" s="6">
        <v>9667</v>
      </c>
      <c r="O46" s="6">
        <v>0</v>
      </c>
      <c r="P46" s="6">
        <v>121</v>
      </c>
      <c r="Q46" s="6">
        <v>0</v>
      </c>
      <c r="R46" s="6">
        <v>0</v>
      </c>
      <c r="S46" s="6">
        <v>45</v>
      </c>
      <c r="T46" s="6">
        <v>121</v>
      </c>
      <c r="U46" s="6">
        <v>273899</v>
      </c>
      <c r="V46" s="2">
        <v>0</v>
      </c>
      <c r="W46" s="1" t="s">
        <v>91</v>
      </c>
      <c r="X46" s="1" t="s">
        <v>69</v>
      </c>
      <c r="Y46" s="1" t="s">
        <v>70</v>
      </c>
      <c r="Z46" s="2">
        <v>1</v>
      </c>
      <c r="AA46" s="10">
        <f t="shared" si="0"/>
        <v>412806</v>
      </c>
    </row>
    <row r="47" spans="1:27" ht="15" customHeight="1" x14ac:dyDescent="0.25">
      <c r="A47" s="1" t="s">
        <v>26</v>
      </c>
      <c r="B47" s="1" t="s">
        <v>66</v>
      </c>
      <c r="C47" s="1" t="s">
        <v>92</v>
      </c>
      <c r="D47" s="1" t="s">
        <v>29</v>
      </c>
      <c r="E47" s="1" t="s">
        <v>30</v>
      </c>
      <c r="F47" s="1" t="s">
        <v>68</v>
      </c>
      <c r="G47" s="6">
        <v>59238</v>
      </c>
      <c r="H47" s="6">
        <v>24682</v>
      </c>
      <c r="I47" s="6">
        <v>10500</v>
      </c>
      <c r="J47" s="6">
        <v>0</v>
      </c>
      <c r="K47" s="9"/>
      <c r="L47" s="6">
        <v>1100</v>
      </c>
      <c r="M47" s="10">
        <v>0</v>
      </c>
      <c r="N47" s="12">
        <v>14380</v>
      </c>
      <c r="O47" s="6">
        <v>0</v>
      </c>
      <c r="P47" s="6">
        <v>54</v>
      </c>
      <c r="Q47" s="6">
        <v>0</v>
      </c>
      <c r="R47" s="6">
        <v>0</v>
      </c>
      <c r="S47" s="6">
        <v>38</v>
      </c>
      <c r="T47" s="6">
        <v>54</v>
      </c>
      <c r="U47" s="6">
        <v>493656</v>
      </c>
      <c r="V47" s="2">
        <v>0</v>
      </c>
      <c r="W47" s="1" t="s">
        <v>39</v>
      </c>
      <c r="X47" s="1" t="s">
        <v>69</v>
      </c>
      <c r="Y47" s="1" t="s">
        <v>70</v>
      </c>
      <c r="Z47" s="2">
        <v>1</v>
      </c>
      <c r="AA47" s="10">
        <f t="shared" si="0"/>
        <v>603702</v>
      </c>
    </row>
    <row r="48" spans="1:27" ht="15" customHeight="1" x14ac:dyDescent="0.25">
      <c r="A48" s="1" t="s">
        <v>26</v>
      </c>
      <c r="B48" s="1" t="s">
        <v>66</v>
      </c>
      <c r="C48" s="1" t="s">
        <v>93</v>
      </c>
      <c r="D48" s="1" t="s">
        <v>29</v>
      </c>
      <c r="E48" s="1" t="s">
        <v>30</v>
      </c>
      <c r="F48" s="1" t="s">
        <v>29</v>
      </c>
      <c r="G48" s="6">
        <v>49088</v>
      </c>
      <c r="H48" s="6">
        <v>15257</v>
      </c>
      <c r="I48" s="6">
        <v>990</v>
      </c>
      <c r="J48" s="6">
        <v>0</v>
      </c>
      <c r="K48" s="9"/>
      <c r="L48" s="6">
        <v>1100</v>
      </c>
      <c r="M48" s="10">
        <v>0</v>
      </c>
      <c r="N48" s="6">
        <v>11914</v>
      </c>
      <c r="O48" s="6">
        <v>0</v>
      </c>
      <c r="P48" s="6">
        <v>180</v>
      </c>
      <c r="Q48" s="6">
        <v>0</v>
      </c>
      <c r="R48" s="6">
        <v>3300</v>
      </c>
      <c r="S48" s="6">
        <v>138</v>
      </c>
      <c r="T48" s="6">
        <v>180</v>
      </c>
      <c r="U48" s="6">
        <v>331683</v>
      </c>
      <c r="V48" s="2">
        <v>0</v>
      </c>
      <c r="W48" s="1" t="s">
        <v>39</v>
      </c>
      <c r="X48" s="1" t="s">
        <v>69</v>
      </c>
      <c r="Y48" s="1" t="s">
        <v>70</v>
      </c>
      <c r="Z48" s="2">
        <v>1</v>
      </c>
      <c r="AA48" s="10">
        <f t="shared" si="0"/>
        <v>413830</v>
      </c>
    </row>
    <row r="49" spans="1:27" ht="15" customHeight="1" x14ac:dyDescent="0.25">
      <c r="A49" s="1" t="s">
        <v>26</v>
      </c>
      <c r="B49" s="1" t="s">
        <v>66</v>
      </c>
      <c r="C49" s="1" t="s">
        <v>94</v>
      </c>
      <c r="D49" s="1" t="s">
        <v>29</v>
      </c>
      <c r="E49" s="1" t="s">
        <v>30</v>
      </c>
      <c r="F49" s="1" t="s">
        <v>29</v>
      </c>
      <c r="G49" s="6">
        <v>99121</v>
      </c>
      <c r="H49" s="6">
        <v>26432</v>
      </c>
      <c r="I49" s="6">
        <v>6608</v>
      </c>
      <c r="J49" s="6">
        <v>0</v>
      </c>
      <c r="K49" s="9"/>
      <c r="L49" s="6">
        <v>1231</v>
      </c>
      <c r="M49" s="10">
        <v>0</v>
      </c>
      <c r="N49" s="6">
        <v>12506</v>
      </c>
      <c r="O49" s="6">
        <v>0</v>
      </c>
      <c r="P49" s="6">
        <v>42</v>
      </c>
      <c r="Q49" s="6">
        <v>0</v>
      </c>
      <c r="R49" s="6">
        <v>0</v>
      </c>
      <c r="S49" s="6">
        <v>12</v>
      </c>
      <c r="T49" s="6">
        <v>42</v>
      </c>
      <c r="U49" s="6">
        <v>317901</v>
      </c>
      <c r="V49" s="2">
        <v>0</v>
      </c>
      <c r="W49" s="1" t="s">
        <v>95</v>
      </c>
      <c r="X49" s="1" t="s">
        <v>69</v>
      </c>
      <c r="Y49" s="1" t="s">
        <v>70</v>
      </c>
      <c r="Z49" s="2">
        <v>1</v>
      </c>
      <c r="AA49" s="10">
        <f t="shared" si="0"/>
        <v>463895</v>
      </c>
    </row>
    <row r="50" spans="1:27" ht="15" customHeight="1" x14ac:dyDescent="0.25">
      <c r="O50" s="11"/>
    </row>
    <row r="51" spans="1:27" x14ac:dyDescent="0.25">
      <c r="G51" s="11"/>
      <c r="H51" s="11"/>
      <c r="I51" s="11"/>
      <c r="U51"/>
    </row>
  </sheetData>
  <sortState xmlns:xlrd2="http://schemas.microsoft.com/office/spreadsheetml/2017/richdata2" ref="A2:Z49">
    <sortCondition ref="C2:C49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C802-E22B-46F2-B7ED-2C492A72239D}">
  <dimension ref="A1:B28"/>
  <sheetViews>
    <sheetView tabSelected="1" workbookViewId="0">
      <selection activeCell="C32" sqref="C32"/>
    </sheetView>
  </sheetViews>
  <sheetFormatPr defaultRowHeight="15" x14ac:dyDescent="0.25"/>
  <cols>
    <col min="1" max="1" width="17" bestFit="1" customWidth="1"/>
  </cols>
  <sheetData>
    <row r="1" spans="1:2" x14ac:dyDescent="0.25">
      <c r="A1" t="s">
        <v>99</v>
      </c>
      <c r="B1" t="s">
        <v>100</v>
      </c>
    </row>
    <row r="2" spans="1:2" x14ac:dyDescent="0.25">
      <c r="A2" t="s">
        <v>0</v>
      </c>
      <c r="B2" t="s">
        <v>101</v>
      </c>
    </row>
    <row r="3" spans="1:2" x14ac:dyDescent="0.25">
      <c r="A3" t="s">
        <v>1</v>
      </c>
      <c r="B3" t="s">
        <v>102</v>
      </c>
    </row>
    <row r="4" spans="1:2" x14ac:dyDescent="0.25">
      <c r="A4" t="s">
        <v>2</v>
      </c>
      <c r="B4" t="s">
        <v>103</v>
      </c>
    </row>
    <row r="5" spans="1:2" x14ac:dyDescent="0.25">
      <c r="A5" t="s">
        <v>3</v>
      </c>
      <c r="B5" t="s">
        <v>104</v>
      </c>
    </row>
    <row r="6" spans="1:2" x14ac:dyDescent="0.25">
      <c r="A6" t="s">
        <v>4</v>
      </c>
      <c r="B6" t="s">
        <v>105</v>
      </c>
    </row>
    <row r="7" spans="1:2" x14ac:dyDescent="0.25">
      <c r="A7" t="s">
        <v>5</v>
      </c>
      <c r="B7" t="s">
        <v>106</v>
      </c>
    </row>
    <row r="8" spans="1:2" x14ac:dyDescent="0.25">
      <c r="A8" t="s">
        <v>6</v>
      </c>
      <c r="B8" t="s">
        <v>107</v>
      </c>
    </row>
    <row r="9" spans="1:2" x14ac:dyDescent="0.25">
      <c r="A9" t="s">
        <v>7</v>
      </c>
      <c r="B9" t="s">
        <v>108</v>
      </c>
    </row>
    <row r="10" spans="1:2" x14ac:dyDescent="0.25">
      <c r="A10" t="s">
        <v>8</v>
      </c>
      <c r="B10" t="s">
        <v>109</v>
      </c>
    </row>
    <row r="11" spans="1:2" x14ac:dyDescent="0.25">
      <c r="A11" t="s">
        <v>9</v>
      </c>
      <c r="B11" t="s">
        <v>110</v>
      </c>
    </row>
    <row r="12" spans="1:2" x14ac:dyDescent="0.25">
      <c r="A12" t="s">
        <v>10</v>
      </c>
      <c r="B12" t="s">
        <v>111</v>
      </c>
    </row>
    <row r="13" spans="1:2" x14ac:dyDescent="0.25">
      <c r="A13" t="s">
        <v>11</v>
      </c>
      <c r="B13" t="s">
        <v>112</v>
      </c>
    </row>
    <row r="14" spans="1:2" x14ac:dyDescent="0.25">
      <c r="A14" t="s">
        <v>12</v>
      </c>
      <c r="B14" t="s">
        <v>113</v>
      </c>
    </row>
    <row r="15" spans="1:2" x14ac:dyDescent="0.25">
      <c r="A15" t="s">
        <v>13</v>
      </c>
      <c r="B15" t="s">
        <v>114</v>
      </c>
    </row>
    <row r="16" spans="1:2" x14ac:dyDescent="0.25">
      <c r="A16" t="s">
        <v>14</v>
      </c>
    </row>
    <row r="17" spans="1:2" x14ac:dyDescent="0.25">
      <c r="A17" t="s">
        <v>15</v>
      </c>
      <c r="B17" t="s">
        <v>115</v>
      </c>
    </row>
    <row r="18" spans="1:2" x14ac:dyDescent="0.25">
      <c r="A18" t="s">
        <v>16</v>
      </c>
      <c r="B18" t="s">
        <v>116</v>
      </c>
    </row>
    <row r="19" spans="1:2" x14ac:dyDescent="0.25">
      <c r="A19" t="s">
        <v>17</v>
      </c>
      <c r="B19" t="s">
        <v>117</v>
      </c>
    </row>
    <row r="20" spans="1:2" x14ac:dyDescent="0.25">
      <c r="A20" t="s">
        <v>18</v>
      </c>
      <c r="B20" t="s">
        <v>118</v>
      </c>
    </row>
    <row r="21" spans="1:2" x14ac:dyDescent="0.25">
      <c r="A21" t="s">
        <v>19</v>
      </c>
      <c r="B21" t="s">
        <v>119</v>
      </c>
    </row>
    <row r="22" spans="1:2" x14ac:dyDescent="0.25">
      <c r="A22" t="s">
        <v>20</v>
      </c>
      <c r="B22" t="s">
        <v>120</v>
      </c>
    </row>
    <row r="23" spans="1:2" x14ac:dyDescent="0.25">
      <c r="A23" t="s">
        <v>21</v>
      </c>
      <c r="B23" t="s">
        <v>121</v>
      </c>
    </row>
    <row r="24" spans="1:2" x14ac:dyDescent="0.25">
      <c r="A24" t="s">
        <v>22</v>
      </c>
      <c r="B24" t="s">
        <v>124</v>
      </c>
    </row>
    <row r="25" spans="1:2" x14ac:dyDescent="0.25">
      <c r="A25" t="s">
        <v>23</v>
      </c>
      <c r="B25" t="s">
        <v>122</v>
      </c>
    </row>
    <row r="26" spans="1:2" x14ac:dyDescent="0.25">
      <c r="A26" t="s">
        <v>24</v>
      </c>
      <c r="B26" t="s">
        <v>123</v>
      </c>
    </row>
    <row r="27" spans="1:2" x14ac:dyDescent="0.25">
      <c r="A27" t="s">
        <v>25</v>
      </c>
      <c r="B27" t="s">
        <v>127</v>
      </c>
    </row>
    <row r="28" spans="1:2" x14ac:dyDescent="0.25">
      <c r="A28" t="s">
        <v>125</v>
      </c>
      <c r="B28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Field descriptions</vt:lpstr>
    </vt:vector>
  </TitlesOfParts>
  <Company>State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Lorna I (DFG)</dc:creator>
  <cp:lastModifiedBy>Wilson, Lorna I (DFG)</cp:lastModifiedBy>
  <dcterms:created xsi:type="dcterms:W3CDTF">2025-07-03T22:36:44Z</dcterms:created>
  <dcterms:modified xsi:type="dcterms:W3CDTF">2025-07-18T19:11:00Z</dcterms:modified>
</cp:coreProperties>
</file>