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3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Management\Salmon\Historic Catch and Escapement\"/>
    </mc:Choice>
  </mc:AlternateContent>
  <xr:revisionPtr revIDLastSave="0" documentId="13_ncr:1_{56185A0D-943D-4EC9-8BD0-51956EAC3B0E}" xr6:coauthVersionLast="47" xr6:coauthVersionMax="47" xr10:uidLastSave="{00000000-0000-0000-0000-000000000000}"/>
  <bookViews>
    <workbookView xWindow="-108" yWindow="-108" windowWidth="23256" windowHeight="12576" tabRatio="601" firstSheet="7" activeTab="7" xr2:uid="{00000000-000D-0000-FFFF-FFFF00000000}"/>
  </bookViews>
  <sheets>
    <sheet name="Sheet1" sheetId="14" r:id="rId1"/>
    <sheet name="Sheet3" sheetId="16" r:id="rId2"/>
    <sheet name="Escapement Figures" sheetId="17" r:id="rId3"/>
    <sheet name="Sheet4" sheetId="18" r:id="rId4"/>
    <sheet name="SE Baranof" sheetId="2" r:id="rId5"/>
    <sheet name="Red Bluff" sheetId="1" r:id="rId6"/>
    <sheet name="Kelp Bay" sheetId="8" r:id="rId7"/>
    <sheet name="Whale" sheetId="12" r:id="rId8"/>
    <sheet name="W Crawfish" sheetId="3" r:id="rId9"/>
    <sheet name="Sitka Sound" sheetId="10" r:id="rId10"/>
    <sheet name="Peril Strait" sheetId="7" r:id="rId11"/>
    <sheet name="Salisbury" sheetId="4" r:id="rId12"/>
    <sheet name="Slocum" sheetId="9" r:id="rId13"/>
    <sheet name="Portlock" sheetId="5" r:id="rId14"/>
    <sheet name="Lisianski" sheetId="6" r:id="rId15"/>
    <sheet name="Sheet2" sheetId="15" r:id="rId16"/>
  </sheets>
  <definedNames>
    <definedName name="_xlnm.Print_Area" localSheetId="6">'Kelp Bay'!$A$1:$K$71</definedName>
    <definedName name="_xlnm.Print_Area" localSheetId="14">Lisianski!$A$1:$L$75</definedName>
    <definedName name="_xlnm.Print_Area" localSheetId="10">'Peril Strait'!$F$79:$N$104</definedName>
    <definedName name="_xlnm.Print_Area" localSheetId="13">Portlock!$A$1:$E$71</definedName>
    <definedName name="_xlnm.Print_Area" localSheetId="5">'Red Bluff'!$A$1:$I$71</definedName>
    <definedName name="_xlnm.Print_Area" localSheetId="11">Salisbury!$A$1:$N$71</definedName>
    <definedName name="_xlnm.Print_Area" localSheetId="4">'SE Baranof'!$A$1:$K$71</definedName>
    <definedName name="_xlnm.Print_Area" localSheetId="9">'Sitka Sound'!$A$1:$T$71</definedName>
    <definedName name="_xlnm.Print_Area" localSheetId="12">Slocum!$A$1:$K$74</definedName>
    <definedName name="_xlnm.Print_Area" localSheetId="8">'W Crawfish'!$A$1:$F$74</definedName>
    <definedName name="_xlnm.Print_Area" localSheetId="7">Whale!$A$1:$H$74</definedName>
    <definedName name="solver_cvg" localSheetId="8" hidden="1">0.0001</definedName>
    <definedName name="solver_drv" localSheetId="8" hidden="1">1</definedName>
    <definedName name="solver_est" localSheetId="8" hidden="1">1</definedName>
    <definedName name="solver_itr" localSheetId="8" hidden="1">100</definedName>
    <definedName name="solver_lin" localSheetId="8" hidden="1">2</definedName>
    <definedName name="solver_neg" localSheetId="8" hidden="1">2</definedName>
    <definedName name="solver_num" localSheetId="8" hidden="1">0</definedName>
    <definedName name="solver_nwt" localSheetId="8" hidden="1">1</definedName>
    <definedName name="solver_opt" localSheetId="8" hidden="1">'W Crawfish'!$I$71</definedName>
    <definedName name="solver_pre" localSheetId="8" hidden="1">0.000001</definedName>
    <definedName name="solver_scl" localSheetId="8" hidden="1">2</definedName>
    <definedName name="solver_sho" localSheetId="8" hidden="1">2</definedName>
    <definedName name="solver_tim" localSheetId="8" hidden="1">100</definedName>
    <definedName name="solver_tol" localSheetId="8" hidden="1">0.05</definedName>
    <definedName name="solver_typ" localSheetId="8" hidden="1">1</definedName>
    <definedName name="solver_val" localSheetId="8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9" i="10" l="1"/>
  <c r="K69" i="9"/>
  <c r="K68" i="9" l="1"/>
  <c r="H69" i="2"/>
  <c r="L69" i="4"/>
  <c r="I69" i="6"/>
  <c r="I68" i="6"/>
  <c r="J67" i="6"/>
  <c r="G68" i="5"/>
  <c r="H67" i="5"/>
  <c r="L67" i="9"/>
  <c r="F68" i="3"/>
  <c r="Q68" i="10"/>
  <c r="R67" i="10"/>
  <c r="L68" i="4"/>
  <c r="O67" i="10"/>
  <c r="E68" i="2"/>
  <c r="F67" i="2"/>
  <c r="D68" i="2"/>
  <c r="B68" i="2"/>
  <c r="D68" i="8"/>
  <c r="E68" i="7"/>
  <c r="G68" i="7"/>
  <c r="F68" i="10" l="1"/>
  <c r="B68" i="4" l="1"/>
  <c r="E68" i="4"/>
  <c r="F68" i="4"/>
  <c r="G68" i="4"/>
  <c r="B68" i="6"/>
  <c r="C68" i="5"/>
  <c r="D68" i="9"/>
  <c r="B68" i="7"/>
  <c r="C68" i="7"/>
  <c r="D68" i="7"/>
  <c r="T68" i="7"/>
  <c r="F68" i="7"/>
  <c r="G67" i="6" l="1"/>
  <c r="F68" i="6"/>
  <c r="E68" i="6"/>
  <c r="D68" i="6"/>
  <c r="C68" i="6"/>
  <c r="E67" i="5"/>
  <c r="E71" i="5" s="1"/>
  <c r="D68" i="5"/>
  <c r="B68" i="5"/>
  <c r="I67" i="9"/>
  <c r="H68" i="9"/>
  <c r="G68" i="9"/>
  <c r="F68" i="9"/>
  <c r="E68" i="9"/>
  <c r="C68" i="9"/>
  <c r="B68" i="9"/>
  <c r="J67" i="4"/>
  <c r="J71" i="4" s="1"/>
  <c r="I68" i="4"/>
  <c r="H68" i="4"/>
  <c r="C68" i="4"/>
  <c r="D68" i="4"/>
  <c r="V67" i="7"/>
  <c r="U68" i="7"/>
  <c r="S68" i="7"/>
  <c r="R68" i="7"/>
  <c r="Q68" i="7"/>
  <c r="P68" i="7"/>
  <c r="O68" i="7"/>
  <c r="N68" i="7"/>
  <c r="M68" i="7"/>
  <c r="L68" i="7"/>
  <c r="K68" i="7"/>
  <c r="J68" i="7"/>
  <c r="I68" i="7"/>
  <c r="H68" i="7"/>
  <c r="C68" i="3"/>
  <c r="D67" i="3"/>
  <c r="D71" i="3" s="1"/>
  <c r="B68" i="3"/>
  <c r="E68" i="12"/>
  <c r="F67" i="12"/>
  <c r="F70" i="12" s="1"/>
  <c r="D68" i="12"/>
  <c r="C68" i="12"/>
  <c r="B68" i="12"/>
  <c r="F67" i="8"/>
  <c r="E68" i="8"/>
  <c r="C68" i="8"/>
  <c r="B68" i="8"/>
  <c r="C68" i="1"/>
  <c r="D67" i="1"/>
  <c r="D68" i="1" s="1"/>
  <c r="B68" i="1"/>
  <c r="O71" i="10"/>
  <c r="N68" i="10"/>
  <c r="M68" i="10"/>
  <c r="L68" i="10"/>
  <c r="K68" i="10"/>
  <c r="J68" i="10"/>
  <c r="I68" i="10"/>
  <c r="H68" i="10"/>
  <c r="G68" i="10"/>
  <c r="E68" i="10"/>
  <c r="D68" i="10"/>
  <c r="C68" i="10"/>
  <c r="B68" i="10"/>
  <c r="C75" i="6"/>
  <c r="D75" i="6"/>
  <c r="E75" i="6"/>
  <c r="F75" i="6"/>
  <c r="G75" i="6"/>
  <c r="H75" i="6"/>
  <c r="I75" i="6"/>
  <c r="B75" i="6"/>
  <c r="C74" i="6"/>
  <c r="D74" i="6"/>
  <c r="E74" i="6"/>
  <c r="F74" i="6"/>
  <c r="G74" i="6"/>
  <c r="I74" i="6"/>
  <c r="B74" i="6"/>
  <c r="D73" i="6"/>
  <c r="C73" i="6"/>
  <c r="E73" i="6"/>
  <c r="F73" i="6"/>
  <c r="G73" i="6"/>
  <c r="I73" i="6"/>
  <c r="B73" i="6"/>
  <c r="C72" i="6"/>
  <c r="D72" i="6"/>
  <c r="E72" i="6"/>
  <c r="F72" i="6"/>
  <c r="G72" i="6"/>
  <c r="I72" i="6"/>
  <c r="B72" i="6"/>
  <c r="C71" i="6"/>
  <c r="D71" i="6"/>
  <c r="E71" i="6"/>
  <c r="F71" i="6"/>
  <c r="G71" i="6"/>
  <c r="H71" i="6"/>
  <c r="I71" i="6"/>
  <c r="B70" i="6"/>
  <c r="J69" i="6"/>
  <c r="C69" i="6"/>
  <c r="D69" i="6"/>
  <c r="E69" i="6"/>
  <c r="F69" i="6"/>
  <c r="G69" i="6"/>
  <c r="H69" i="6"/>
  <c r="B69" i="6"/>
  <c r="G68" i="6"/>
  <c r="H68" i="6"/>
  <c r="C71" i="5"/>
  <c r="D71" i="5"/>
  <c r="G71" i="5"/>
  <c r="B71" i="5"/>
  <c r="C70" i="5"/>
  <c r="D70" i="5"/>
  <c r="G70" i="5"/>
  <c r="B70" i="5"/>
  <c r="C69" i="5"/>
  <c r="B69" i="5"/>
  <c r="D69" i="5"/>
  <c r="E69" i="5"/>
  <c r="G69" i="5"/>
  <c r="H69" i="5"/>
  <c r="C71" i="9"/>
  <c r="D71" i="9"/>
  <c r="E71" i="9"/>
  <c r="G71" i="9"/>
  <c r="H71" i="9"/>
  <c r="K71" i="9"/>
  <c r="B71" i="9"/>
  <c r="C70" i="9"/>
  <c r="D70" i="9"/>
  <c r="E70" i="9"/>
  <c r="F70" i="9"/>
  <c r="G70" i="9"/>
  <c r="H70" i="9"/>
  <c r="K70" i="9"/>
  <c r="B70" i="9"/>
  <c r="C69" i="9"/>
  <c r="D69" i="9"/>
  <c r="E69" i="9"/>
  <c r="F69" i="9"/>
  <c r="F71" i="9" s="1"/>
  <c r="G69" i="9"/>
  <c r="H69" i="9"/>
  <c r="B69" i="9"/>
  <c r="L70" i="4"/>
  <c r="C71" i="4"/>
  <c r="D71" i="4"/>
  <c r="E71" i="4"/>
  <c r="F71" i="4"/>
  <c r="G71" i="4"/>
  <c r="H71" i="4"/>
  <c r="I71" i="4"/>
  <c r="K71" i="4"/>
  <c r="L71" i="4"/>
  <c r="B71" i="4"/>
  <c r="C70" i="4"/>
  <c r="D70" i="4"/>
  <c r="E70" i="4"/>
  <c r="F70" i="4"/>
  <c r="G70" i="4"/>
  <c r="H70" i="4"/>
  <c r="I70" i="4"/>
  <c r="K70" i="4"/>
  <c r="B70" i="4"/>
  <c r="C69" i="4"/>
  <c r="D69" i="4"/>
  <c r="E69" i="4"/>
  <c r="F69" i="4"/>
  <c r="G69" i="4"/>
  <c r="H69" i="4"/>
  <c r="I69" i="4"/>
  <c r="J69" i="4"/>
  <c r="K69" i="4"/>
  <c r="M69" i="4"/>
  <c r="B69" i="4"/>
  <c r="I71" i="7"/>
  <c r="J71" i="7"/>
  <c r="K71" i="7"/>
  <c r="L71" i="7"/>
  <c r="M71" i="7"/>
  <c r="N71" i="7"/>
  <c r="O71" i="7"/>
  <c r="P71" i="7"/>
  <c r="Q71" i="7"/>
  <c r="R71" i="7"/>
  <c r="T71" i="7"/>
  <c r="U71" i="7"/>
  <c r="X71" i="7"/>
  <c r="H71" i="7"/>
  <c r="H70" i="7"/>
  <c r="I69" i="7"/>
  <c r="J69" i="7"/>
  <c r="K69" i="7"/>
  <c r="L69" i="7"/>
  <c r="M69" i="7"/>
  <c r="N69" i="7"/>
  <c r="O69" i="7"/>
  <c r="P69" i="7"/>
  <c r="Q69" i="7"/>
  <c r="R69" i="7"/>
  <c r="S69" i="7"/>
  <c r="S71" i="7" s="1"/>
  <c r="T69" i="7"/>
  <c r="U69" i="7"/>
  <c r="X69" i="7"/>
  <c r="H69" i="7"/>
  <c r="C71" i="10"/>
  <c r="D71" i="10"/>
  <c r="E71" i="10"/>
  <c r="F71" i="10"/>
  <c r="G71" i="10"/>
  <c r="H71" i="10"/>
  <c r="I71" i="10"/>
  <c r="J71" i="10"/>
  <c r="K71" i="10"/>
  <c r="L71" i="10"/>
  <c r="M71" i="10"/>
  <c r="N71" i="10"/>
  <c r="Q71" i="10"/>
  <c r="B71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Q70" i="10"/>
  <c r="B70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B69" i="10"/>
  <c r="C71" i="3"/>
  <c r="F71" i="3"/>
  <c r="B71" i="3"/>
  <c r="C70" i="3"/>
  <c r="F70" i="3"/>
  <c r="B70" i="3"/>
  <c r="C69" i="3"/>
  <c r="B69" i="3"/>
  <c r="D69" i="3"/>
  <c r="F69" i="3"/>
  <c r="C71" i="12"/>
  <c r="D71" i="12"/>
  <c r="E71" i="12"/>
  <c r="H71" i="12"/>
  <c r="B71" i="12"/>
  <c r="C70" i="12"/>
  <c r="D70" i="12"/>
  <c r="E70" i="12"/>
  <c r="H70" i="12"/>
  <c r="B70" i="12"/>
  <c r="C69" i="12"/>
  <c r="D69" i="12"/>
  <c r="E69" i="12"/>
  <c r="F69" i="12"/>
  <c r="H69" i="12"/>
  <c r="B69" i="12"/>
  <c r="F71" i="12" l="1"/>
  <c r="D70" i="3"/>
  <c r="D68" i="3"/>
  <c r="O70" i="10"/>
  <c r="E70" i="5"/>
  <c r="J70" i="4"/>
  <c r="C71" i="8"/>
  <c r="D71" i="8"/>
  <c r="E71" i="8"/>
  <c r="F71" i="8"/>
  <c r="H71" i="8"/>
  <c r="B71" i="8"/>
  <c r="C70" i="8"/>
  <c r="D70" i="8"/>
  <c r="E70" i="8"/>
  <c r="F70" i="8"/>
  <c r="H70" i="8"/>
  <c r="B70" i="8"/>
  <c r="C69" i="8"/>
  <c r="D69" i="8"/>
  <c r="E69" i="8"/>
  <c r="F69" i="8"/>
  <c r="H69" i="8"/>
  <c r="B69" i="8"/>
  <c r="C71" i="1"/>
  <c r="D71" i="1"/>
  <c r="F71" i="1"/>
  <c r="B71" i="1"/>
  <c r="B70" i="1"/>
  <c r="C70" i="1"/>
  <c r="D70" i="1"/>
  <c r="F70" i="1"/>
  <c r="C69" i="1"/>
  <c r="D69" i="1"/>
  <c r="F69" i="1"/>
  <c r="B69" i="1"/>
  <c r="C71" i="2"/>
  <c r="D71" i="2"/>
  <c r="E71" i="2"/>
  <c r="F71" i="2"/>
  <c r="H71" i="2"/>
  <c r="B71" i="2"/>
  <c r="C68" i="2"/>
  <c r="C70" i="2"/>
  <c r="D70" i="2"/>
  <c r="E70" i="2"/>
  <c r="F70" i="2"/>
  <c r="H70" i="2"/>
  <c r="B70" i="2"/>
  <c r="C69" i="2"/>
  <c r="D69" i="2"/>
  <c r="E69" i="2"/>
  <c r="F69" i="2"/>
  <c r="B69" i="2"/>
  <c r="D66" i="1"/>
  <c r="D65" i="1"/>
  <c r="E64" i="5" l="1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X70" i="7"/>
  <c r="X68" i="7"/>
  <c r="I66" i="9"/>
  <c r="C70" i="6"/>
  <c r="D70" i="6"/>
  <c r="E70" i="6"/>
  <c r="F70" i="6"/>
  <c r="I70" i="6"/>
  <c r="F66" i="2"/>
  <c r="D66" i="3"/>
  <c r="F66" i="12"/>
  <c r="I66" i="12" s="1"/>
  <c r="L66" i="9" l="1"/>
  <c r="L69" i="9" s="1"/>
  <c r="I69" i="9"/>
  <c r="I71" i="9" s="1"/>
  <c r="I70" i="9"/>
  <c r="F66" i="8"/>
  <c r="J66" i="4" l="1"/>
  <c r="V66" i="7"/>
  <c r="O66" i="10"/>
  <c r="G66" i="6"/>
  <c r="E66" i="5"/>
  <c r="J66" i="6" l="1"/>
  <c r="L66" i="5"/>
  <c r="H66" i="5"/>
  <c r="M66" i="4"/>
  <c r="Y66" i="7"/>
  <c r="R66" i="10"/>
  <c r="O65" i="10"/>
  <c r="R65" i="10" s="1"/>
  <c r="F68" i="1"/>
  <c r="G65" i="6"/>
  <c r="J65" i="6" s="1"/>
  <c r="F65" i="8"/>
  <c r="G65" i="1"/>
  <c r="F65" i="2"/>
  <c r="F65" i="12" l="1"/>
  <c r="I65" i="12" s="1"/>
  <c r="E65" i="5" l="1"/>
  <c r="I65" i="9"/>
  <c r="D65" i="3"/>
  <c r="J65" i="4"/>
  <c r="B71" i="6"/>
  <c r="C70" i="7"/>
  <c r="D70" i="7"/>
  <c r="E70" i="7"/>
  <c r="F70" i="7"/>
  <c r="G70" i="7"/>
  <c r="B70" i="7"/>
  <c r="C69" i="7"/>
  <c r="C71" i="7" s="1"/>
  <c r="D69" i="7"/>
  <c r="D71" i="7" s="1"/>
  <c r="E69" i="7"/>
  <c r="E71" i="7" s="1"/>
  <c r="F69" i="7"/>
  <c r="F71" i="7" s="1"/>
  <c r="G69" i="7"/>
  <c r="G71" i="7" s="1"/>
  <c r="B69" i="7"/>
  <c r="B71" i="7" s="1"/>
  <c r="H65" i="5" l="1"/>
  <c r="L65" i="9"/>
  <c r="M65" i="4"/>
  <c r="G65" i="3"/>
  <c r="L65" i="5"/>
  <c r="V65" i="7"/>
  <c r="Y65" i="7" s="1"/>
  <c r="O64" i="10" l="1"/>
  <c r="R64" i="10" s="1"/>
  <c r="J64" i="4"/>
  <c r="M64" i="4" s="1"/>
  <c r="I64" i="9"/>
  <c r="V64" i="7"/>
  <c r="F64" i="2"/>
  <c r="D64" i="1"/>
  <c r="D64" i="3"/>
  <c r="F64" i="12"/>
  <c r="I64" i="12" s="1"/>
  <c r="O60" i="10"/>
  <c r="Y64" i="7" l="1"/>
  <c r="G64" i="3"/>
  <c r="G64" i="1"/>
  <c r="F64" i="8"/>
  <c r="H68" i="2"/>
  <c r="I64" i="8" l="1"/>
  <c r="L64" i="9"/>
  <c r="H64" i="5"/>
  <c r="G64" i="6"/>
  <c r="J64" i="6" s="1"/>
  <c r="L64" i="5" l="1"/>
  <c r="M58" i="4"/>
  <c r="L58" i="9" l="1"/>
  <c r="D61" i="3" l="1"/>
  <c r="G61" i="3" s="1"/>
  <c r="O63" i="10"/>
  <c r="R63" i="10" s="1"/>
  <c r="J61" i="4"/>
  <c r="M61" i="4" s="1"/>
  <c r="H68" i="12" l="1"/>
  <c r="D63" i="1" l="1"/>
  <c r="G63" i="1" s="1"/>
  <c r="F63" i="2"/>
  <c r="F63" i="8" l="1"/>
  <c r="I63" i="8" s="1"/>
  <c r="E63" i="5" l="1"/>
  <c r="L63" i="5" l="1"/>
  <c r="H63" i="5"/>
  <c r="I63" i="9"/>
  <c r="L63" i="9" l="1"/>
  <c r="F63" i="12"/>
  <c r="I63" i="12" s="1"/>
  <c r="D63" i="3" l="1"/>
  <c r="G63" i="3" s="1"/>
  <c r="G63" i="6" l="1"/>
  <c r="J63" i="6" s="1"/>
  <c r="V63" i="7"/>
  <c r="J63" i="4"/>
  <c r="Y63" i="7" l="1"/>
  <c r="V69" i="7"/>
  <c r="V71" i="7" s="1"/>
  <c r="M63" i="4"/>
  <c r="G61" i="6" l="1"/>
  <c r="J61" i="6" s="1"/>
  <c r="V60" i="7" l="1"/>
  <c r="Y60" i="7" s="1"/>
  <c r="F62" i="8" l="1"/>
  <c r="I62" i="8" s="1"/>
  <c r="D62" i="3" l="1"/>
  <c r="G62" i="3" s="1"/>
  <c r="D62" i="1"/>
  <c r="G62" i="1" s="1"/>
  <c r="F62" i="2"/>
  <c r="F62" i="12" l="1"/>
  <c r="I62" i="12" s="1"/>
  <c r="O62" i="10" l="1"/>
  <c r="R62" i="10" s="1"/>
  <c r="E62" i="5" l="1"/>
  <c r="L62" i="5" s="1"/>
  <c r="G62" i="6"/>
  <c r="J62" i="6" s="1"/>
  <c r="I62" i="9"/>
  <c r="L62" i="9" s="1"/>
  <c r="J62" i="4"/>
  <c r="M62" i="4" s="1"/>
  <c r="V62" i="7"/>
  <c r="Y62" i="7" s="1"/>
  <c r="H62" i="5" l="1"/>
  <c r="H68" i="8"/>
  <c r="G72" i="5" l="1"/>
  <c r="C72" i="5"/>
  <c r="D72" i="5"/>
  <c r="B72" i="5"/>
  <c r="F61" i="8" l="1"/>
  <c r="I61" i="8" s="1"/>
  <c r="I61" i="9" l="1"/>
  <c r="L61" i="9" s="1"/>
  <c r="E61" i="5"/>
  <c r="H61" i="5" s="1"/>
  <c r="H77" i="5" l="1"/>
  <c r="L61" i="5"/>
  <c r="V61" i="7"/>
  <c r="Y61" i="7" s="1"/>
  <c r="D61" i="1" l="1"/>
  <c r="F61" i="2"/>
  <c r="F61" i="12" l="1"/>
  <c r="I61" i="12" s="1"/>
  <c r="O61" i="10"/>
  <c r="R61" i="10" s="1"/>
  <c r="F59" i="12" l="1"/>
  <c r="D60" i="1" l="1"/>
  <c r="F60" i="2"/>
  <c r="D60" i="3" l="1"/>
  <c r="F60" i="12"/>
  <c r="I60" i="12" s="1"/>
  <c r="F60" i="8" l="1"/>
  <c r="I60" i="8" s="1"/>
  <c r="E60" i="5" l="1"/>
  <c r="I60" i="9"/>
  <c r="G60" i="6"/>
  <c r="J60" i="6" s="1"/>
  <c r="J60" i="4"/>
  <c r="M60" i="4" s="1"/>
  <c r="L60" i="9" l="1"/>
  <c r="L60" i="5"/>
  <c r="H60" i="5"/>
  <c r="G59" i="6"/>
  <c r="J59" i="6" s="1"/>
  <c r="F58" i="12" l="1"/>
  <c r="D58" i="3"/>
  <c r="F59" i="8" l="1"/>
  <c r="I59" i="8" s="1"/>
  <c r="F58" i="2"/>
  <c r="D59" i="1"/>
  <c r="D58" i="1"/>
  <c r="V59" i="7" l="1"/>
  <c r="E59" i="5"/>
  <c r="I59" i="9"/>
  <c r="L59" i="9" s="1"/>
  <c r="L59" i="5" l="1"/>
  <c r="H59" i="5"/>
  <c r="J59" i="4"/>
  <c r="M59" i="4" s="1"/>
  <c r="G58" i="6"/>
  <c r="J58" i="6" s="1"/>
  <c r="O58" i="10" l="1"/>
  <c r="E58" i="5" l="1"/>
  <c r="V58" i="7"/>
  <c r="O59" i="10"/>
  <c r="D59" i="3"/>
  <c r="F58" i="8"/>
  <c r="F59" i="2"/>
  <c r="L58" i="5" l="1"/>
  <c r="H58" i="5"/>
  <c r="E57" i="5"/>
  <c r="F57" i="8"/>
  <c r="F57" i="2"/>
  <c r="D57" i="1"/>
  <c r="G57" i="6"/>
  <c r="J57" i="6" s="1"/>
  <c r="V57" i="7"/>
  <c r="L57" i="5" l="1"/>
  <c r="H57" i="5"/>
  <c r="L101" i="7"/>
  <c r="M101" i="7"/>
  <c r="K101" i="7"/>
  <c r="D57" i="3"/>
  <c r="F57" i="12"/>
  <c r="O57" i="10"/>
  <c r="I57" i="9"/>
  <c r="L57" i="9" s="1"/>
  <c r="J57" i="4"/>
  <c r="M57" i="4" s="1"/>
  <c r="G56" i="6" l="1"/>
  <c r="E56" i="5"/>
  <c r="I56" i="9"/>
  <c r="J56" i="4"/>
  <c r="V56" i="7"/>
  <c r="O56" i="10"/>
  <c r="D56" i="3"/>
  <c r="F56" i="12"/>
  <c r="F56" i="8"/>
  <c r="D56" i="1"/>
  <c r="F56" i="2"/>
  <c r="J56" i="6" l="1"/>
  <c r="L56" i="9"/>
  <c r="M56" i="4"/>
  <c r="S56" i="10"/>
  <c r="L56" i="5"/>
  <c r="H56" i="5"/>
  <c r="G101" i="7"/>
  <c r="N101" i="7"/>
  <c r="I101" i="7"/>
  <c r="J101" i="7"/>
  <c r="H101" i="7"/>
  <c r="F55" i="12"/>
  <c r="D55" i="3"/>
  <c r="F55" i="2"/>
  <c r="D55" i="1"/>
  <c r="J55" i="4"/>
  <c r="M55" i="4" l="1"/>
  <c r="F55" i="8"/>
  <c r="V55" i="7"/>
  <c r="O55" i="10" l="1"/>
  <c r="G55" i="6"/>
  <c r="E55" i="5"/>
  <c r="I55" i="9"/>
  <c r="D54" i="1"/>
  <c r="F54" i="2"/>
  <c r="F54" i="8"/>
  <c r="V54" i="7"/>
  <c r="G54" i="6"/>
  <c r="E54" i="5"/>
  <c r="J54" i="4"/>
  <c r="O54" i="10"/>
  <c r="I54" i="9"/>
  <c r="F54" i="12"/>
  <c r="D54" i="3"/>
  <c r="E53" i="5"/>
  <c r="H53" i="5" s="1"/>
  <c r="D53" i="1"/>
  <c r="F53" i="2"/>
  <c r="F53" i="8"/>
  <c r="V53" i="7"/>
  <c r="G53" i="6"/>
  <c r="F53" i="12"/>
  <c r="D53" i="3"/>
  <c r="J53" i="4"/>
  <c r="I53" i="9"/>
  <c r="L53" i="9" s="1"/>
  <c r="O53" i="10"/>
  <c r="E52" i="5"/>
  <c r="G52" i="6"/>
  <c r="J52" i="6" s="1"/>
  <c r="D52" i="3"/>
  <c r="F52" i="12"/>
  <c r="I52" i="9"/>
  <c r="L52" i="9" s="1"/>
  <c r="O52" i="10"/>
  <c r="J52" i="4"/>
  <c r="M52" i="4" s="1"/>
  <c r="V52" i="7"/>
  <c r="F52" i="8"/>
  <c r="D52" i="1"/>
  <c r="F5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F51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I51" i="9"/>
  <c r="L51" i="9" s="1"/>
  <c r="O51" i="10"/>
  <c r="J51" i="4"/>
  <c r="E51" i="5"/>
  <c r="V51" i="7"/>
  <c r="V41" i="7"/>
  <c r="V42" i="7"/>
  <c r="V43" i="7"/>
  <c r="V44" i="7"/>
  <c r="V45" i="7"/>
  <c r="V46" i="7"/>
  <c r="V47" i="7"/>
  <c r="V48" i="7"/>
  <c r="V49" i="7"/>
  <c r="V50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F51" i="8"/>
  <c r="F51" i="2"/>
  <c r="D51" i="1"/>
  <c r="G51" i="6"/>
  <c r="J51" i="6" s="1"/>
  <c r="I41" i="9"/>
  <c r="L41" i="9" s="1"/>
  <c r="I42" i="9"/>
  <c r="L42" i="9" s="1"/>
  <c r="I43" i="9"/>
  <c r="L43" i="9" s="1"/>
  <c r="I44" i="9"/>
  <c r="L44" i="9" s="1"/>
  <c r="I45" i="9"/>
  <c r="L45" i="9" s="1"/>
  <c r="I46" i="9"/>
  <c r="L46" i="9" s="1"/>
  <c r="I47" i="9"/>
  <c r="L47" i="9" s="1"/>
  <c r="I48" i="9"/>
  <c r="L48" i="9" s="1"/>
  <c r="I49" i="9"/>
  <c r="L49" i="9" s="1"/>
  <c r="I50" i="9"/>
  <c r="L50" i="9" s="1"/>
  <c r="O41" i="10"/>
  <c r="O42" i="10"/>
  <c r="O43" i="10"/>
  <c r="O44" i="10"/>
  <c r="O45" i="10"/>
  <c r="O46" i="10"/>
  <c r="O47" i="10"/>
  <c r="O48" i="10"/>
  <c r="O49" i="10"/>
  <c r="O50" i="10"/>
  <c r="J50" i="4"/>
  <c r="J41" i="4"/>
  <c r="J42" i="4"/>
  <c r="J43" i="4"/>
  <c r="J44" i="4"/>
  <c r="J45" i="4"/>
  <c r="J46" i="4"/>
  <c r="J47" i="4"/>
  <c r="J48" i="4"/>
  <c r="J49" i="4"/>
  <c r="E41" i="5"/>
  <c r="E42" i="5"/>
  <c r="E43" i="5"/>
  <c r="E44" i="5"/>
  <c r="E45" i="5"/>
  <c r="E46" i="5"/>
  <c r="E47" i="5"/>
  <c r="E48" i="5"/>
  <c r="E49" i="5"/>
  <c r="E50" i="5"/>
  <c r="G50" i="6"/>
  <c r="J50" i="6" s="1"/>
  <c r="G48" i="6"/>
  <c r="J48" i="6" s="1"/>
  <c r="G46" i="6"/>
  <c r="G44" i="6"/>
  <c r="G42" i="6"/>
  <c r="G40" i="6"/>
  <c r="G38" i="6"/>
  <c r="G36" i="6"/>
  <c r="G34" i="6"/>
  <c r="G32" i="6"/>
  <c r="G30" i="6"/>
  <c r="G28" i="6"/>
  <c r="G26" i="6"/>
  <c r="G24" i="6"/>
  <c r="G22" i="6"/>
  <c r="G20" i="6"/>
  <c r="G18" i="6"/>
  <c r="G16" i="6"/>
  <c r="G14" i="6"/>
  <c r="G12" i="6"/>
  <c r="G10" i="6"/>
  <c r="G8" i="6"/>
  <c r="G6" i="6"/>
  <c r="G4" i="6"/>
  <c r="G49" i="6"/>
  <c r="J49" i="6" s="1"/>
  <c r="G47" i="6"/>
  <c r="J47" i="6" s="1"/>
  <c r="G45" i="6"/>
  <c r="G43" i="6"/>
  <c r="G41" i="6"/>
  <c r="G39" i="6"/>
  <c r="G37" i="6"/>
  <c r="G35" i="6"/>
  <c r="G33" i="6"/>
  <c r="G31" i="6"/>
  <c r="G29" i="6"/>
  <c r="G27" i="6"/>
  <c r="G25" i="6"/>
  <c r="G23" i="6"/>
  <c r="G21" i="6"/>
  <c r="G19" i="6"/>
  <c r="G17" i="6"/>
  <c r="G15" i="6"/>
  <c r="G13" i="6"/>
  <c r="G11" i="6"/>
  <c r="G9" i="6"/>
  <c r="G7" i="6"/>
  <c r="G5" i="6"/>
  <c r="G3" i="6"/>
  <c r="F41" i="8"/>
  <c r="F42" i="8"/>
  <c r="F43" i="8"/>
  <c r="F44" i="8"/>
  <c r="F45" i="8"/>
  <c r="F46" i="8"/>
  <c r="F47" i="8"/>
  <c r="F48" i="8"/>
  <c r="F49" i="8"/>
  <c r="F50" i="8"/>
  <c r="F41" i="2"/>
  <c r="F42" i="2"/>
  <c r="F43" i="2"/>
  <c r="F44" i="2"/>
  <c r="F45" i="2"/>
  <c r="F46" i="2"/>
  <c r="F47" i="2"/>
  <c r="F48" i="2"/>
  <c r="F49" i="2"/>
  <c r="F50" i="2"/>
  <c r="D41" i="1"/>
  <c r="D42" i="1"/>
  <c r="D43" i="1"/>
  <c r="D44" i="1"/>
  <c r="D45" i="1"/>
  <c r="D46" i="1"/>
  <c r="D47" i="1"/>
  <c r="D48" i="1"/>
  <c r="D50" i="1"/>
  <c r="D39" i="1"/>
  <c r="D4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O39" i="10"/>
  <c r="O40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I39" i="9"/>
  <c r="L39" i="9" s="1"/>
  <c r="I40" i="9"/>
  <c r="L40" i="9" s="1"/>
  <c r="I3" i="9"/>
  <c r="I4" i="9"/>
  <c r="L4" i="9" s="1"/>
  <c r="I5" i="9"/>
  <c r="L5" i="9" s="1"/>
  <c r="I6" i="9"/>
  <c r="L6" i="9" s="1"/>
  <c r="I7" i="9"/>
  <c r="L7" i="9" s="1"/>
  <c r="I8" i="9"/>
  <c r="L8" i="9" s="1"/>
  <c r="I9" i="9"/>
  <c r="L9" i="9" s="1"/>
  <c r="I10" i="9"/>
  <c r="L10" i="9" s="1"/>
  <c r="I11" i="9"/>
  <c r="L11" i="9" s="1"/>
  <c r="I12" i="9"/>
  <c r="L12" i="9" s="1"/>
  <c r="I13" i="9"/>
  <c r="L13" i="9" s="1"/>
  <c r="I14" i="9"/>
  <c r="L14" i="9" s="1"/>
  <c r="I15" i="9"/>
  <c r="L15" i="9" s="1"/>
  <c r="I16" i="9"/>
  <c r="L16" i="9" s="1"/>
  <c r="I17" i="9"/>
  <c r="L17" i="9" s="1"/>
  <c r="I18" i="9"/>
  <c r="L18" i="9" s="1"/>
  <c r="I19" i="9"/>
  <c r="L19" i="9" s="1"/>
  <c r="I20" i="9"/>
  <c r="L20" i="9" s="1"/>
  <c r="I21" i="9"/>
  <c r="L21" i="9" s="1"/>
  <c r="I22" i="9"/>
  <c r="L22" i="9" s="1"/>
  <c r="I23" i="9"/>
  <c r="L23" i="9" s="1"/>
  <c r="I24" i="9"/>
  <c r="L24" i="9" s="1"/>
  <c r="I25" i="9"/>
  <c r="L25" i="9" s="1"/>
  <c r="I26" i="9"/>
  <c r="L26" i="9" s="1"/>
  <c r="I27" i="9"/>
  <c r="L27" i="9" s="1"/>
  <c r="I28" i="9"/>
  <c r="L28" i="9" s="1"/>
  <c r="I29" i="9"/>
  <c r="L29" i="9" s="1"/>
  <c r="I30" i="9"/>
  <c r="L30" i="9" s="1"/>
  <c r="I31" i="9"/>
  <c r="L31" i="9" s="1"/>
  <c r="I32" i="9"/>
  <c r="L32" i="9" s="1"/>
  <c r="I33" i="9"/>
  <c r="L33" i="9" s="1"/>
  <c r="I34" i="9"/>
  <c r="L34" i="9" s="1"/>
  <c r="I35" i="9"/>
  <c r="L35" i="9" s="1"/>
  <c r="I36" i="9"/>
  <c r="L36" i="9" s="1"/>
  <c r="I37" i="9"/>
  <c r="L37" i="9" s="1"/>
  <c r="I38" i="9"/>
  <c r="L38" i="9" s="1"/>
  <c r="G70" i="6" l="1"/>
  <c r="E68" i="5"/>
  <c r="I68" i="9"/>
  <c r="J68" i="4"/>
  <c r="V68" i="7"/>
  <c r="V70" i="7"/>
  <c r="O68" i="10"/>
  <c r="J55" i="6"/>
  <c r="L55" i="9"/>
  <c r="J54" i="6"/>
  <c r="L54" i="9"/>
  <c r="M54" i="4"/>
  <c r="F68" i="2"/>
  <c r="L3" i="9"/>
  <c r="M53" i="4"/>
  <c r="L54" i="5"/>
  <c r="H54" i="5"/>
  <c r="J53" i="6"/>
  <c r="L55" i="5"/>
  <c r="H55" i="5"/>
  <c r="L53" i="5"/>
  <c r="F68" i="12"/>
  <c r="F68" i="8"/>
  <c r="E7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State of Alaska</author>
    <author>tc={BA1F4D44-FDD7-400D-9C5A-A00453F6600E}</author>
    <author>tc={8CEA2F2E-4EEA-4C55-839F-1A421EAAF0A6}</author>
    <author>tc={2758BBC7-81FE-4FDC-ACD0-8D7C776541E7}</author>
  </authors>
  <commentList>
    <comment ref="E4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unused count was a mouth count on 8/6/02 of 3,630 fish.</t>
        </r>
      </text>
    </comment>
    <comment ref="B46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Inculdes mouth count of 50,000 with 100 schools at head of bay.</t>
        </r>
      </text>
    </comment>
    <comment ref="H65" authorId="1" shapeId="0" xr:uid="{BA1F4D44-FDD7-400D-9C5A-A00453F6600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the Katherine Island shoreline harvest. Wasn’t sure where else to put it.</t>
      </text>
    </comment>
    <comment ref="H66" authorId="2" shapeId="0" xr:uid="{8CEA2F2E-4EEA-4C55-839F-1A421EAAF0A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112 Sitka seine harvest</t>
      </text>
    </comment>
    <comment ref="J66" authorId="3" shapeId="0" xr:uid="{2758BBC7-81FE-4FDC-ACD0-8D7C776541E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Hidden Falls THA pink harvest
Reply:
    Largest THA harvest since 2013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State of Alaska</author>
    <author>DAGordon</author>
  </authors>
  <commentList>
    <comment ref="E4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Peak survey not used was 24,200 on 8/6/02 as pure mouth count.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51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DAGordon:</t>
        </r>
        <r>
          <rPr>
            <sz val="8"/>
            <color indexed="81"/>
            <rFont val="Tahoma"/>
            <family val="2"/>
          </rPr>
          <t xml:space="preserve">
Not likely this high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tc={E523137F-BD82-4E3C-8CAE-41E777EF2A59}</author>
    <author>State of Alaska</author>
    <author>tc={856D2EDE-B839-4571-A2E4-C64346DD16C5}</author>
  </authors>
  <commentList>
    <comment ref="Q2" authorId="0" shapeId="0" xr:uid="{E523137F-BD82-4E3C-8CAE-41E777EF2A59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include 13338 harvest</t>
      </text>
    </comment>
    <comment ref="B47" authorId="1" shapeId="0" xr:uid="{00000000-0006-0000-0600-000001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57,500.</t>
        </r>
      </text>
    </comment>
    <comment ref="E47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26,000.</t>
        </r>
      </text>
    </comment>
    <comment ref="K47" authorId="1" shapeId="0" xr:uid="{00000000-0006-0000-0600-000003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51,000.</t>
        </r>
      </text>
    </comment>
    <comment ref="B48" authorId="1" shapeId="0" xr:uid="{00000000-0006-0000-0600-000004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154,000.</t>
        </r>
      </text>
    </comment>
    <comment ref="E48" authorId="1" shapeId="0" xr:uid="{00000000-0006-0000-0600-000005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49,000.</t>
        </r>
      </text>
    </comment>
    <comment ref="K48" authorId="1" shapeId="0" xr:uid="{00000000-0006-0000-0600-000006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61,500.</t>
        </r>
      </text>
    </comment>
    <comment ref="S65" authorId="2" shapeId="0" xr:uid="{856D2EDE-B839-4571-A2E4-C64346DD16C5}">
      <text>
        <t>[Threaded comment]
Your version of Excel allows you to read this threaded comment; however, any edits to it will get removed if the file is opened in a newer version of Excel. Learn more: https://go.microsoft.com/fwlink/?linkid=870924
Comment:
    Deep Inlet THA harvest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State of Alaska</author>
    <author>Dupuis, Aaron W (DFG)</author>
  </authors>
  <commentList>
    <comment ref="B2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Stream is impoosible to view aerially due to overgrown canopy.  Suggest using peak foot survey.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Stream is impoosible to view aerially due to overgrown canopy.  Suggest using peak foot survey.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Stream is impoosible to view aerially due to overgrown canopy.  Suggest using peak foot survey.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2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Stream is impoosible to view aerially due to overgrown canopy.  Suggest using peak foot survey.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Stream is impoosible to view aerially due to overgrown canopy.  Suggest using peak foot survey.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5" authorId="0" shapeId="0" xr:uid="{00000000-0006-0000-0700-000006000000}">
      <text>
        <r>
          <rPr>
            <b/>
            <sz val="8"/>
            <color indexed="81"/>
            <rFont val="Tahoma"/>
            <family val="2"/>
          </rPr>
          <t>Foot survey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5" authorId="0" shapeId="0" xr:uid="{00000000-0006-0000-0700-000007000000}">
      <text>
        <r>
          <rPr>
            <b/>
            <sz val="8"/>
            <color indexed="81"/>
            <rFont val="Tahoma"/>
            <family val="2"/>
          </rPr>
          <t>Peak foot count survey not used on 8/19/02 was 23,800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5" authorId="0" shapeId="0" xr:uid="{00000000-0006-0000-0700-000008000000}">
      <text>
        <r>
          <rPr>
            <b/>
            <sz val="8"/>
            <color indexed="81"/>
            <rFont val="Tahoma"/>
            <family val="2"/>
          </rPr>
          <t>Peak foot survey not used on 8/18/02 was 22,500.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45" authorId="0" shapeId="0" xr:uid="{00000000-0006-0000-0700-000009000000}">
      <text>
        <r>
          <rPr>
            <b/>
            <sz val="8"/>
            <color indexed="81"/>
            <rFont val="Tahoma"/>
            <family val="2"/>
          </rPr>
          <t>Peak mouth count not used was 4,235 on 8/6/02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Peak foot count not used was 17,170 on 8/20/02</t>
        </r>
      </text>
    </comment>
    <comment ref="B47" authorId="0" shapeId="0" xr:uid="{00000000-0006-0000-0700-00000A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16,520.</t>
        </r>
      </text>
    </comment>
    <comment ref="C47" authorId="0" shapeId="0" xr:uid="{00000000-0006-0000-0700-00000B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52,120.</t>
        </r>
      </text>
    </comment>
    <comment ref="E47" authorId="0" shapeId="0" xr:uid="{00000000-0006-0000-0700-00000C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Foot survey of 36,500.</t>
        </r>
      </text>
    </comment>
    <comment ref="G47" authorId="0" shapeId="0" xr:uid="{00000000-0006-0000-0700-00000D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One survey code 2.</t>
        </r>
      </text>
    </comment>
    <comment ref="I47" authorId="0" shapeId="0" xr:uid="{00000000-0006-0000-0700-00000E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42,500.</t>
        </r>
      </text>
    </comment>
    <comment ref="T47" authorId="0" shapeId="0" xr:uid="{00000000-0006-0000-0700-00000F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17,000.</t>
        </r>
      </text>
    </comment>
    <comment ref="B48" authorId="0" shapeId="0" xr:uid="{00000000-0006-0000-0700-000010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29,000.</t>
        </r>
      </text>
    </comment>
    <comment ref="C48" authorId="0" shapeId="0" xr:uid="{00000000-0006-0000-0700-000011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19.500.</t>
        </r>
      </text>
    </comment>
    <comment ref="E48" authorId="0" shapeId="0" xr:uid="{00000000-0006-0000-0700-000012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29,300.</t>
        </r>
      </text>
    </comment>
    <comment ref="H48" authorId="0" shapeId="0" xr:uid="{00000000-0006-0000-0700-000013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35,000.</t>
        </r>
      </text>
    </comment>
    <comment ref="I48" authorId="0" shapeId="0" xr:uid="{00000000-0006-0000-0700-000014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32,000.</t>
        </r>
      </text>
    </comment>
    <comment ref="J48" authorId="0" shapeId="0" xr:uid="{00000000-0006-0000-0700-000015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38,500.</t>
        </r>
      </text>
    </comment>
    <comment ref="T48" authorId="0" shapeId="0" xr:uid="{00000000-0006-0000-0700-000016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66,100.</t>
        </r>
      </text>
    </comment>
    <comment ref="E63" authorId="1" shapeId="0" xr:uid="{FFC52D68-2100-4CC3-B9E6-E44135B6EA41}">
      <text>
        <r>
          <rPr>
            <b/>
            <sz val="9"/>
            <color indexed="81"/>
            <rFont val="Tahoma"/>
            <charset val="1"/>
          </rPr>
          <t>Dupuis, Aaron W (DFG):</t>
        </r>
        <r>
          <rPr>
            <sz val="9"/>
            <color indexed="81"/>
            <rFont val="Tahoma"/>
            <charset val="1"/>
          </rPr>
          <t xml:space="preserve">
Interpolated by Andy Piston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State of Alaska</author>
  </authors>
  <commentList>
    <comment ref="D4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 xml:space="preserve">Peak tidal count not used was 6,000 on 8/9/02.  3 weeks earlier than peak count on Sinitsin Cr.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7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Foot survey 51,500.</t>
        </r>
      </text>
    </comment>
    <comment ref="D47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5,200.</t>
        </r>
      </text>
    </comment>
    <comment ref="H47" authorId="0" shapeId="0" xr:uid="{00000000-0006-0000-0800-000004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18,000.</t>
        </r>
      </text>
    </comment>
    <comment ref="I48" authorId="0" shapeId="0" xr:uid="{00000000-0006-0000-0800-000005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53,000.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State of Alaska</author>
    <author>tc={B064C1B7-6CE9-4D25-A804-FED3B1C07A4D}</author>
  </authors>
  <commentList>
    <comment ref="C47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44,000.</t>
        </r>
      </text>
    </comment>
    <comment ref="D47" authorId="0" shapeId="0" xr:uid="{00000000-0006-0000-0900-000002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83,000.</t>
        </r>
      </text>
    </comment>
    <comment ref="F47" authorId="0" shapeId="0" xr:uid="{00000000-0006-0000-0900-000003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43,000.</t>
        </r>
      </text>
    </comment>
    <comment ref="H47" authorId="0" shapeId="0" xr:uid="{00000000-0006-0000-0900-000004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10,800.</t>
        </r>
      </text>
    </comment>
    <comment ref="C48" authorId="0" shapeId="0" xr:uid="{00000000-0006-0000-0900-000005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Not sure why this one is coded 3 over others.</t>
        </r>
      </text>
    </comment>
    <comment ref="D48" authorId="0" shapeId="0" xr:uid="{00000000-0006-0000-0900-000006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160,000.</t>
        </r>
      </text>
    </comment>
    <comment ref="F48" authorId="0" shapeId="0" xr:uid="{00000000-0006-0000-0900-000007000000}">
      <text>
        <r>
          <rPr>
            <b/>
            <sz val="8"/>
            <color indexed="81"/>
            <rFont val="Tahoma"/>
            <family val="2"/>
          </rPr>
          <t>State of Alaska:</t>
        </r>
        <r>
          <rPr>
            <sz val="8"/>
            <color indexed="81"/>
            <rFont val="Tahoma"/>
            <family val="2"/>
          </rPr>
          <t xml:space="preserve">
Peak foot survey 88,000.</t>
        </r>
      </text>
    </comment>
    <comment ref="C64" authorId="1" shapeId="0" xr:uid="{B064C1B7-6CE9-4D25-A804-FED3B1C07A4D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Something happend here, likely got creek robbed. Not using the highest count for the peak esc count.</t>
      </text>
    </comment>
  </commentList>
</comments>
</file>

<file path=xl/sharedStrings.xml><?xml version="1.0" encoding="utf-8"?>
<sst xmlns="http://schemas.openxmlformats.org/spreadsheetml/2006/main" count="708" uniqueCount="366">
  <si>
    <t>10920007</t>
  </si>
  <si>
    <t>10920016</t>
  </si>
  <si>
    <t>Gut Bay Head</t>
  </si>
  <si>
    <t>Red Bluff Bay S Head</t>
  </si>
  <si>
    <t>Total</t>
  </si>
  <si>
    <t>10910006</t>
  </si>
  <si>
    <t>10910009</t>
  </si>
  <si>
    <t>10910023</t>
  </si>
  <si>
    <t>10910028</t>
  </si>
  <si>
    <t>Sashin Ck P Walter N</t>
  </si>
  <si>
    <t>Lovers Cove Creek</t>
  </si>
  <si>
    <t>Deep Cove NW Head</t>
  </si>
  <si>
    <t>Patterson Bay Head</t>
  </si>
  <si>
    <t>11221005</t>
  </si>
  <si>
    <t>11221006</t>
  </si>
  <si>
    <t>11221008</t>
  </si>
  <si>
    <t>11221009</t>
  </si>
  <si>
    <t>Clear River Kelp Bay</t>
  </si>
  <si>
    <t>Ralphs Creek-Kelp B</t>
  </si>
  <si>
    <t>Kelp Bay M Arm Head</t>
  </si>
  <si>
    <t>Kelp Bay Portage Arm</t>
  </si>
  <si>
    <t>11351001</t>
  </si>
  <si>
    <t>11351002</t>
  </si>
  <si>
    <t>11352004</t>
  </si>
  <si>
    <t>11353003</t>
  </si>
  <si>
    <t>11354005</t>
  </si>
  <si>
    <t>11354007</t>
  </si>
  <si>
    <t>11355001</t>
  </si>
  <si>
    <t>11355005</t>
  </si>
  <si>
    <t>11356002</t>
  </si>
  <si>
    <t>11356003</t>
  </si>
  <si>
    <t>11357001</t>
  </si>
  <si>
    <t>11357002</t>
  </si>
  <si>
    <t>11357005</t>
  </si>
  <si>
    <t>11357009</t>
  </si>
  <si>
    <t>11358002</t>
  </si>
  <si>
    <t>11358003</t>
  </si>
  <si>
    <t>11358004</t>
  </si>
  <si>
    <t>11359004</t>
  </si>
  <si>
    <t>11359007</t>
  </si>
  <si>
    <t>Broad Creek</t>
  </si>
  <si>
    <t>Oly Creek</t>
  </si>
  <si>
    <t>Hanus Bay</t>
  </si>
  <si>
    <t>Rodman Creek</t>
  </si>
  <si>
    <t>Finger River</t>
  </si>
  <si>
    <t>11395003</t>
  </si>
  <si>
    <t>11395004</t>
  </si>
  <si>
    <t>11395006</t>
  </si>
  <si>
    <t>11395007</t>
  </si>
  <si>
    <t>11396002</t>
  </si>
  <si>
    <t>Pelican Creek</t>
  </si>
  <si>
    <t>Phonograph Ck Lis In</t>
  </si>
  <si>
    <t>Lisianski River</t>
  </si>
  <si>
    <t>Steelhead R SW Lis I</t>
  </si>
  <si>
    <t>Saltery Rvr Stag Bay</t>
  </si>
  <si>
    <t>11381003</t>
  </si>
  <si>
    <t>11381010</t>
  </si>
  <si>
    <t>11381011</t>
  </si>
  <si>
    <t>Goulding Harbor Head</t>
  </si>
  <si>
    <t>Black Bay North Head</t>
  </si>
  <si>
    <t>Black River</t>
  </si>
  <si>
    <t>11362006</t>
  </si>
  <si>
    <t>11362008</t>
  </si>
  <si>
    <t>11362012</t>
  </si>
  <si>
    <t>11364001</t>
  </si>
  <si>
    <t>11365004</t>
  </si>
  <si>
    <t>11365005</t>
  </si>
  <si>
    <t>11366003</t>
  </si>
  <si>
    <t>11366006</t>
  </si>
  <si>
    <t>Sukoi Inlet W Side</t>
  </si>
  <si>
    <t>Sinitsin Cove Head</t>
  </si>
  <si>
    <t>Sukoi Inlet SE Head</t>
  </si>
  <si>
    <t>Deep Bay Head</t>
  </si>
  <si>
    <t>Fish Bay Creek</t>
  </si>
  <si>
    <t>Fish Bay S Side Head</t>
  </si>
  <si>
    <t>Marine Cove</t>
  </si>
  <si>
    <t>St. John Baptist Hd</t>
  </si>
  <si>
    <t>11340015</t>
  </si>
  <si>
    <t>11340017</t>
  </si>
  <si>
    <t>11341032</t>
  </si>
  <si>
    <t>11341034</t>
  </si>
  <si>
    <t>11341042</t>
  </si>
  <si>
    <t>11342002</t>
  </si>
  <si>
    <t>11342003</t>
  </si>
  <si>
    <t>11343002</t>
  </si>
  <si>
    <t>11343005</t>
  </si>
  <si>
    <t>11344003</t>
  </si>
  <si>
    <t>11344005</t>
  </si>
  <si>
    <t>Camp Coogan</t>
  </si>
  <si>
    <t>Nakwasina River</t>
  </si>
  <si>
    <t>Katlian River</t>
  </si>
  <si>
    <t>11372004</t>
  </si>
  <si>
    <t>11372005</t>
  </si>
  <si>
    <t>11373003</t>
  </si>
  <si>
    <t>11373004</t>
  </si>
  <si>
    <t>11373006</t>
  </si>
  <si>
    <t>11373010</t>
  </si>
  <si>
    <t>11373012</t>
  </si>
  <si>
    <t>South Ford Arm</t>
  </si>
  <si>
    <t>Khaz Creek</t>
  </si>
  <si>
    <t>11322006</t>
  </si>
  <si>
    <t>11322008</t>
  </si>
  <si>
    <t>11322015</t>
  </si>
  <si>
    <t>11322018</t>
  </si>
  <si>
    <t>Whale Bay Sm Arm NW</t>
  </si>
  <si>
    <t>Politofski Lk outlet</t>
  </si>
  <si>
    <t>Whale Bay Grt Arm Hd</t>
  </si>
  <si>
    <t>Whale Bay Grt Arm E</t>
  </si>
  <si>
    <t>Long-term Average</t>
  </si>
  <si>
    <t>Long-term Even Year</t>
  </si>
  <si>
    <t>Long-term Odd Year</t>
  </si>
  <si>
    <t>Fick Cove</t>
  </si>
  <si>
    <t>Ushk Bay SW</t>
  </si>
  <si>
    <t>Ushk Bay W</t>
  </si>
  <si>
    <t>West Broad</t>
  </si>
  <si>
    <t>Saook Bay</t>
  </si>
  <si>
    <t>Appleton Cove</t>
  </si>
  <si>
    <t>Patterson Bay W</t>
  </si>
  <si>
    <t>South Arm Hd</t>
  </si>
  <si>
    <t>North Arm 02</t>
  </si>
  <si>
    <t>Granite Creek</t>
  </si>
  <si>
    <t>N Arm Head</t>
  </si>
  <si>
    <t>Sitkoh Lake</t>
  </si>
  <si>
    <t>Sitkoh</t>
  </si>
  <si>
    <t>Limit Ck</t>
  </si>
  <si>
    <t>Kizhuchia</t>
  </si>
  <si>
    <t>Salmon Lake</t>
  </si>
  <si>
    <t>Starrigavin</t>
  </si>
  <si>
    <t>Noxon</t>
  </si>
  <si>
    <t>Katlian S. Fork</t>
  </si>
  <si>
    <t>Rust Crk</t>
  </si>
  <si>
    <t>Sister Lake Head</t>
  </si>
  <si>
    <t>Ford Arm Lk</t>
  </si>
  <si>
    <t>Waterfall</t>
  </si>
  <si>
    <t>Slocum Head</t>
  </si>
  <si>
    <t>Saook</t>
  </si>
  <si>
    <t>Rodman</t>
  </si>
  <si>
    <t>Lake Eva</t>
  </si>
  <si>
    <t>Sitkoh Head</t>
  </si>
  <si>
    <t>North Arm Head</t>
  </si>
  <si>
    <t>Harvest</t>
  </si>
  <si>
    <t>10-yr Avg</t>
  </si>
  <si>
    <t>False Island</t>
  </si>
  <si>
    <t>West Broad Creek</t>
  </si>
  <si>
    <t>South Arm Head</t>
  </si>
  <si>
    <t>Patterson W Head</t>
  </si>
  <si>
    <t>Ushk W</t>
  </si>
  <si>
    <t>Ushk SW</t>
  </si>
  <si>
    <t>Management Goal Range</t>
  </si>
  <si>
    <t>Interpolated</t>
  </si>
  <si>
    <t>113-41-13B</t>
  </si>
  <si>
    <t>Eagle River</t>
  </si>
  <si>
    <t>False I Cr</t>
  </si>
  <si>
    <t>Stream Number</t>
  </si>
  <si>
    <t>113-32-004</t>
  </si>
  <si>
    <t>113-32-005</t>
  </si>
  <si>
    <t>W Crawfish Hd</t>
  </si>
  <si>
    <t>Stock Group</t>
  </si>
  <si>
    <t>SE Baranof Pink</t>
  </si>
  <si>
    <t>109-10-006</t>
  </si>
  <si>
    <t>109-10-009</t>
  </si>
  <si>
    <t>109-10-023</t>
  </si>
  <si>
    <t>109-10-028</t>
  </si>
  <si>
    <t>E Baranof Pink</t>
  </si>
  <si>
    <t>109-20-007</t>
  </si>
  <si>
    <t>109-20-016</t>
  </si>
  <si>
    <t>Kelp Bay Pink</t>
  </si>
  <si>
    <t>112-21-005</t>
  </si>
  <si>
    <t>112-21-006</t>
  </si>
  <si>
    <t>112-21-008</t>
  </si>
  <si>
    <t>112-21-009</t>
  </si>
  <si>
    <t>Hoonah Sound Pink</t>
  </si>
  <si>
    <t>113-51-001</t>
  </si>
  <si>
    <t>113-51-002</t>
  </si>
  <si>
    <t>113-51-004</t>
  </si>
  <si>
    <t>113-52-004</t>
  </si>
  <si>
    <t>113-53-003</t>
  </si>
  <si>
    <t>113-54-005</t>
  </si>
  <si>
    <t>113-54-007</t>
  </si>
  <si>
    <t>113-55-001</t>
  </si>
  <si>
    <t>113-55-005</t>
  </si>
  <si>
    <t>113-56-002</t>
  </si>
  <si>
    <t>113-56-003</t>
  </si>
  <si>
    <t>113-57-001</t>
  </si>
  <si>
    <t>113-57-002</t>
  </si>
  <si>
    <t>113-57-005</t>
  </si>
  <si>
    <t>113-57-009</t>
  </si>
  <si>
    <t>113-58-002</t>
  </si>
  <si>
    <t>113-58-003</t>
  </si>
  <si>
    <t>113-58-004</t>
  </si>
  <si>
    <t>113-59-004</t>
  </si>
  <si>
    <t>113-59-007</t>
  </si>
  <si>
    <t>Whale Bay Pink</t>
  </si>
  <si>
    <t>113-22-006</t>
  </si>
  <si>
    <t>113-22-008</t>
  </si>
  <si>
    <t>113-22-015</t>
  </si>
  <si>
    <t>113-22-018</t>
  </si>
  <si>
    <t>W Crawfish Pink</t>
  </si>
  <si>
    <t>Sitka Sound Pink</t>
  </si>
  <si>
    <t>113-40-015</t>
  </si>
  <si>
    <t>113-40-017</t>
  </si>
  <si>
    <t>113-41-032</t>
  </si>
  <si>
    <t>113-41-034</t>
  </si>
  <si>
    <t>113-41-042</t>
  </si>
  <si>
    <t>113-42-002</t>
  </si>
  <si>
    <t>113-42-003</t>
  </si>
  <si>
    <t>113-43-002</t>
  </si>
  <si>
    <t>113-43-005</t>
  </si>
  <si>
    <t>113-44-003</t>
  </si>
  <si>
    <t>113-44-005</t>
  </si>
  <si>
    <t>Salisbury Sound Pink</t>
  </si>
  <si>
    <t>113-62-006</t>
  </si>
  <si>
    <t>113-62-008</t>
  </si>
  <si>
    <t>113-62-012</t>
  </si>
  <si>
    <t>113-64-001</t>
  </si>
  <si>
    <t>113-65-004</t>
  </si>
  <si>
    <t>113-65-005</t>
  </si>
  <si>
    <t>113-66-003</t>
  </si>
  <si>
    <t>113-66-006</t>
  </si>
  <si>
    <t>Slocum Arm Pink</t>
  </si>
  <si>
    <t>113-72-004</t>
  </si>
  <si>
    <t>113-72-005</t>
  </si>
  <si>
    <t>113-73-003</t>
  </si>
  <si>
    <t>113-73-004</t>
  </si>
  <si>
    <t>113-73-006</t>
  </si>
  <si>
    <t>113-73-010</t>
  </si>
  <si>
    <t>113-73-012</t>
  </si>
  <si>
    <t>Portlock Pink</t>
  </si>
  <si>
    <t>113-81-003</t>
  </si>
  <si>
    <t>113-81-010</t>
  </si>
  <si>
    <t>113-81-011</t>
  </si>
  <si>
    <t>Lisianski Pink</t>
  </si>
  <si>
    <t>113-95-003</t>
  </si>
  <si>
    <t>113-95-004</t>
  </si>
  <si>
    <t>113-95-006</t>
  </si>
  <si>
    <t>113-95-007</t>
  </si>
  <si>
    <t>113-96-002</t>
  </si>
  <si>
    <t>Sashin</t>
  </si>
  <si>
    <t>Lovers Cove</t>
  </si>
  <si>
    <t>Deep Cove</t>
  </si>
  <si>
    <t>Patterson Head</t>
  </si>
  <si>
    <t>Gut Bay Hd</t>
  </si>
  <si>
    <t>Red Bluff</t>
  </si>
  <si>
    <t>Clear River</t>
  </si>
  <si>
    <t>Ralph's Creek</t>
  </si>
  <si>
    <t>Middel Arm Hd</t>
  </si>
  <si>
    <t>Portage Arm</t>
  </si>
  <si>
    <t>Rodman Hd</t>
  </si>
  <si>
    <t>Finger R</t>
  </si>
  <si>
    <t>Ushk E</t>
  </si>
  <si>
    <t>W South Arm</t>
  </si>
  <si>
    <t>Parry Creek</t>
  </si>
  <si>
    <t>Granite Ck</t>
  </si>
  <si>
    <t>North Arm Hd</t>
  </si>
  <si>
    <t>Sitkoh Hd</t>
  </si>
  <si>
    <t>Samll Arm 06</t>
  </si>
  <si>
    <t>Politofski Creek</t>
  </si>
  <si>
    <t>Great Arm Hd</t>
  </si>
  <si>
    <t>Grebe Lake</t>
  </si>
  <si>
    <t>W Crawfish N</t>
  </si>
  <si>
    <t>Kisutchia</t>
  </si>
  <si>
    <t>Limit Cr</t>
  </si>
  <si>
    <t>Noxon Cr</t>
  </si>
  <si>
    <t>Nakwasina R</t>
  </si>
  <si>
    <t>Lisa Cr</t>
  </si>
  <si>
    <t>Katlian R</t>
  </si>
  <si>
    <t>So Katlian R</t>
  </si>
  <si>
    <t>Sukoi W</t>
  </si>
  <si>
    <t>Sinitsin</t>
  </si>
  <si>
    <t>Sukoi E</t>
  </si>
  <si>
    <t>Deep Bay</t>
  </si>
  <si>
    <t>Fish River</t>
  </si>
  <si>
    <t>South Fish Bay Cr</t>
  </si>
  <si>
    <t>Marine Cv</t>
  </si>
  <si>
    <t>St John Bay</t>
  </si>
  <si>
    <t>Rust Cr</t>
  </si>
  <si>
    <t>Sister Lake Hd</t>
  </si>
  <si>
    <t>S Ford Arm</t>
  </si>
  <si>
    <t>Waterfall Cv</t>
  </si>
  <si>
    <t>Slocum Hd</t>
  </si>
  <si>
    <t>Khaz Cr</t>
  </si>
  <si>
    <t>Goulding R</t>
  </si>
  <si>
    <t>Black Bay No.</t>
  </si>
  <si>
    <t>Black R</t>
  </si>
  <si>
    <t>Pelican Cr</t>
  </si>
  <si>
    <t>Phonograph Cr</t>
  </si>
  <si>
    <t>Lisianski R</t>
  </si>
  <si>
    <t>Steelhead Cr</t>
  </si>
  <si>
    <t>Saltery Cr</t>
  </si>
  <si>
    <t>Escapement Goal</t>
  </si>
  <si>
    <t xml:space="preserve">Escapement Goal </t>
  </si>
  <si>
    <t>Index Range</t>
  </si>
  <si>
    <t>Peril Strait</t>
  </si>
  <si>
    <t>320,000-760,000</t>
  </si>
  <si>
    <t>Mid</t>
  </si>
  <si>
    <t>Above +</t>
  </si>
  <si>
    <t>Upper</t>
  </si>
  <si>
    <t>Above</t>
  </si>
  <si>
    <t>Below --</t>
  </si>
  <si>
    <t>Below</t>
  </si>
  <si>
    <t>Salisbury Sound</t>
  </si>
  <si>
    <t>190,000-630,000</t>
  </si>
  <si>
    <t>MId</t>
  </si>
  <si>
    <t>Lower</t>
  </si>
  <si>
    <t>Slocum Arm</t>
  </si>
  <si>
    <t>160,000-520,000</t>
  </si>
  <si>
    <t>Portlock Harbor</t>
  </si>
  <si>
    <t>40,000-130,000</t>
  </si>
  <si>
    <t>Lisianski Inlet/Strait</t>
  </si>
  <si>
    <t>80,000-270,000</t>
  </si>
  <si>
    <t>Sitka Sound</t>
  </si>
  <si>
    <t>210,000-700,000</t>
  </si>
  <si>
    <t>Whale Bay</t>
  </si>
  <si>
    <t>40,000-150,000</t>
  </si>
  <si>
    <t>West Crawfish</t>
  </si>
  <si>
    <t>30,000-100,000</t>
  </si>
  <si>
    <t>Red Bluff Bay</t>
  </si>
  <si>
    <t>90,000-210,000</t>
  </si>
  <si>
    <t>Port Walter</t>
  </si>
  <si>
    <t>70,000-160,000</t>
  </si>
  <si>
    <t>Kelp Bay</t>
  </si>
  <si>
    <t>60,000-140,000</t>
  </si>
  <si>
    <t>greater than 30% below lower range</t>
  </si>
  <si>
    <t>less than 30% below lower range</t>
  </si>
  <si>
    <t>lower 1/3 of range</t>
  </si>
  <si>
    <t>middle 1/3 of range</t>
  </si>
  <si>
    <t>upper 1/3 of range</t>
  </si>
  <si>
    <t>less than 30% above upper range</t>
  </si>
  <si>
    <t>greater than 30% above upper range</t>
  </si>
  <si>
    <t>Indian R</t>
  </si>
  <si>
    <t>South Arm West</t>
  </si>
  <si>
    <t>2012 Walk</t>
  </si>
  <si>
    <t>Peril Strait stock group even-year escapement indices, 2006-20012</t>
  </si>
  <si>
    <t>Stream</t>
  </si>
  <si>
    <t>Not part of Index</t>
  </si>
  <si>
    <t>Index Count</t>
  </si>
  <si>
    <t>Lower MTR</t>
  </si>
  <si>
    <t>Upper MTR</t>
  </si>
  <si>
    <t>Escapement Index</t>
  </si>
  <si>
    <t>2014 Walk</t>
  </si>
  <si>
    <t>Lisa Ck</t>
  </si>
  <si>
    <t>Escapement</t>
  </si>
  <si>
    <t>Ranking Since Statehood</t>
  </si>
  <si>
    <t>Foot Survey</t>
  </si>
  <si>
    <t>Dupuis</t>
  </si>
  <si>
    <t>Foot</t>
  </si>
  <si>
    <t>Troy</t>
  </si>
  <si>
    <t>Confidential</t>
  </si>
  <si>
    <t>W. Crawfish</t>
  </si>
  <si>
    <t>Lisianski</t>
  </si>
  <si>
    <t>Portlock</t>
  </si>
  <si>
    <t>Slocum</t>
  </si>
  <si>
    <t>Salisbury</t>
  </si>
  <si>
    <t>SE Baranof</t>
  </si>
  <si>
    <t>Thynes</t>
  </si>
  <si>
    <t>Jason</t>
  </si>
  <si>
    <t>W Crawfish N Arm NE</t>
  </si>
  <si>
    <t>South Arm SW</t>
  </si>
  <si>
    <t>North Arm West</t>
  </si>
  <si>
    <t>"Total Run"</t>
  </si>
  <si>
    <t>14-23 (10-yr) Average</t>
  </si>
  <si>
    <t>2024 Rank</t>
  </si>
  <si>
    <t>2024 vs 10-yr</t>
  </si>
  <si>
    <t>14-24 (10-yr) Average</t>
  </si>
  <si>
    <t>2004-2022 Even Yr Ave</t>
  </si>
  <si>
    <t>2021-2023 Odd Yr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</si>
</sst>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##,###,##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98">
    <xf numFmtId="0" fontId="0" fillId="0" borderId="0" xfId="0"/>
    <xf numFmtId="164" fontId="0" fillId="2" borderId="0" xfId="1" applyNumberFormat="1" applyFont="1" applyFill="1"/>
    <xf numFmtId="164" fontId="0" fillId="0" borderId="0" xfId="1" applyNumberFormat="1" applyFont="1"/>
    <xf numFmtId="164" fontId="0" fillId="0" borderId="0" xfId="1" applyNumberFormat="1" applyFont="1" applyFill="1"/>
    <xf numFmtId="3" fontId="0" fillId="2" borderId="0" xfId="1" applyNumberFormat="1" applyFont="1" applyFill="1"/>
    <xf numFmtId="3" fontId="0" fillId="0" borderId="0" xfId="1" applyNumberFormat="1" applyFont="1" applyFill="1"/>
    <xf numFmtId="0" fontId="6" fillId="0" borderId="0" xfId="0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1" fontId="6" fillId="0" borderId="0" xfId="1" applyNumberFormat="1" applyFont="1" applyFill="1" applyAlignment="1">
      <alignment horizontal="center" vertical="center"/>
    </xf>
    <xf numFmtId="0" fontId="6" fillId="0" borderId="0" xfId="1" applyNumberFormat="1" applyFont="1" applyFill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3" fontId="0" fillId="0" borderId="0" xfId="1" applyNumberFormat="1" applyFont="1"/>
    <xf numFmtId="3" fontId="0" fillId="3" borderId="0" xfId="1" applyNumberFormat="1" applyFont="1" applyFill="1"/>
    <xf numFmtId="0" fontId="6" fillId="0" borderId="0" xfId="0" applyFont="1"/>
    <xf numFmtId="0" fontId="6" fillId="0" borderId="0" xfId="0" applyFont="1" applyAlignment="1">
      <alignment horizontal="left"/>
    </xf>
    <xf numFmtId="3" fontId="0" fillId="4" borderId="0" xfId="1" applyNumberFormat="1" applyFont="1" applyFill="1"/>
    <xf numFmtId="3" fontId="6" fillId="0" borderId="0" xfId="1" applyNumberFormat="1" applyFont="1" applyFill="1" applyBorder="1"/>
    <xf numFmtId="3" fontId="9" fillId="0" borderId="0" xfId="1" applyNumberFormat="1" applyFont="1" applyFill="1" applyBorder="1"/>
    <xf numFmtId="3" fontId="0" fillId="2" borderId="0" xfId="0" applyNumberFormat="1" applyFill="1"/>
    <xf numFmtId="3" fontId="9" fillId="0" borderId="0" xfId="1" applyNumberFormat="1" applyFont="1" applyFill="1"/>
    <xf numFmtId="3" fontId="0" fillId="5" borderId="0" xfId="1" applyNumberFormat="1" applyFont="1" applyFill="1"/>
    <xf numFmtId="0" fontId="11" fillId="0" borderId="0" xfId="0" applyFont="1" applyAlignment="1">
      <alignment horizontal="right"/>
    </xf>
    <xf numFmtId="0" fontId="1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9" fontId="0" fillId="0" borderId="0" xfId="2" applyFont="1" applyBorder="1"/>
    <xf numFmtId="0" fontId="0" fillId="6" borderId="0" xfId="0" applyFill="1"/>
    <xf numFmtId="0" fontId="6" fillId="6" borderId="0" xfId="0" applyFont="1" applyFill="1"/>
    <xf numFmtId="164" fontId="6" fillId="0" borderId="0" xfId="1" applyNumberFormat="1" applyFont="1" applyBorder="1"/>
    <xf numFmtId="164" fontId="0" fillId="6" borderId="0" xfId="0" applyNumberFormat="1" applyFill="1"/>
    <xf numFmtId="9" fontId="0" fillId="6" borderId="0" xfId="2" applyFont="1" applyFill="1" applyBorder="1"/>
    <xf numFmtId="164" fontId="6" fillId="0" borderId="0" xfId="0" applyNumberFormat="1" applyFont="1"/>
    <xf numFmtId="0" fontId="0" fillId="0" borderId="1" xfId="0" applyBorder="1"/>
    <xf numFmtId="0" fontId="0" fillId="0" borderId="1" xfId="0" applyBorder="1" applyAlignment="1">
      <alignment horizontal="right"/>
    </xf>
    <xf numFmtId="164" fontId="6" fillId="0" borderId="0" xfId="1" applyNumberFormat="1" applyFont="1"/>
    <xf numFmtId="164" fontId="9" fillId="0" borderId="0" xfId="1" applyNumberFormat="1" applyFont="1" applyBorder="1"/>
    <xf numFmtId="0" fontId="6" fillId="0" borderId="0" xfId="0" quotePrefix="1" applyFont="1" applyAlignment="1">
      <alignment horizontal="left"/>
    </xf>
    <xf numFmtId="0" fontId="9" fillId="0" borderId="0" xfId="0" applyFont="1"/>
    <xf numFmtId="3" fontId="0" fillId="5" borderId="0" xfId="0" applyNumberFormat="1" applyFill="1"/>
    <xf numFmtId="0" fontId="0" fillId="5" borderId="0" xfId="0" applyFill="1"/>
    <xf numFmtId="3" fontId="0" fillId="3" borderId="0" xfId="0" applyNumberFormat="1" applyFill="1"/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wrapText="1"/>
    </xf>
    <xf numFmtId="1" fontId="0" fillId="5" borderId="0" xfId="0" applyNumberFormat="1" applyFill="1"/>
    <xf numFmtId="1" fontId="0" fillId="3" borderId="0" xfId="0" applyNumberFormat="1" applyFill="1"/>
    <xf numFmtId="0" fontId="6" fillId="0" borderId="0" xfId="1" applyNumberFormat="1" applyFont="1" applyFill="1" applyBorder="1" applyAlignment="1">
      <alignment horizontal="center" vertical="center"/>
    </xf>
    <xf numFmtId="9" fontId="6" fillId="0" borderId="0" xfId="2" applyFont="1" applyBorder="1"/>
    <xf numFmtId="164" fontId="6" fillId="0" borderId="2" xfId="1" applyNumberFormat="1" applyFont="1" applyBorder="1"/>
    <xf numFmtId="164" fontId="6" fillId="0" borderId="3" xfId="1" applyNumberFormat="1" applyFont="1" applyBorder="1"/>
    <xf numFmtId="164" fontId="6" fillId="0" borderId="2" xfId="1" applyNumberFormat="1" applyFont="1" applyFill="1" applyBorder="1"/>
    <xf numFmtId="164" fontId="6" fillId="0" borderId="3" xfId="1" applyNumberFormat="1" applyFont="1" applyFill="1" applyBorder="1"/>
    <xf numFmtId="164" fontId="6" fillId="0" borderId="0" xfId="1" applyNumberFormat="1" applyFont="1" applyAlignment="1">
      <alignment horizontal="right"/>
    </xf>
    <xf numFmtId="9" fontId="6" fillId="0" borderId="1" xfId="2" applyFont="1" applyBorder="1"/>
    <xf numFmtId="164" fontId="9" fillId="0" borderId="0" xfId="0" applyNumberFormat="1" applyFont="1"/>
    <xf numFmtId="164" fontId="6" fillId="0" borderId="1" xfId="1" applyNumberFormat="1" applyFont="1" applyBorder="1"/>
    <xf numFmtId="164" fontId="0" fillId="4" borderId="0" xfId="0" applyNumberFormat="1" applyFill="1"/>
    <xf numFmtId="0" fontId="9" fillId="0" borderId="0" xfId="0" applyFont="1" applyAlignment="1">
      <alignment horizontal="right"/>
    </xf>
    <xf numFmtId="164" fontId="9" fillId="0" borderId="0" xfId="1" applyNumberFormat="1" applyFont="1" applyBorder="1" applyAlignment="1">
      <alignment horizontal="right"/>
    </xf>
    <xf numFmtId="164" fontId="9" fillId="0" borderId="0" xfId="1" applyNumberFormat="1" applyFont="1" applyFill="1" applyBorder="1" applyAlignment="1">
      <alignment horizontal="right"/>
    </xf>
    <xf numFmtId="164" fontId="0" fillId="0" borderId="0" xfId="1" applyNumberFormat="1" applyFont="1" applyBorder="1"/>
    <xf numFmtId="164" fontId="0" fillId="0" borderId="0" xfId="1" applyNumberFormat="1" applyFont="1" applyFill="1" applyBorder="1"/>
    <xf numFmtId="164" fontId="9" fillId="0" borderId="0" xfId="1" applyNumberFormat="1" applyFont="1" applyFill="1" applyBorder="1"/>
    <xf numFmtId="0" fontId="0" fillId="7" borderId="0" xfId="0" applyFill="1"/>
    <xf numFmtId="0" fontId="11" fillId="0" borderId="4" xfId="0" applyFont="1" applyBorder="1" applyAlignment="1">
      <alignment horizontal="right"/>
    </xf>
    <xf numFmtId="164" fontId="6" fillId="0" borderId="4" xfId="0" applyNumberFormat="1" applyFont="1" applyBorder="1"/>
    <xf numFmtId="164" fontId="6" fillId="6" borderId="4" xfId="0" applyNumberFormat="1" applyFont="1" applyFill="1" applyBorder="1"/>
    <xf numFmtId="43" fontId="9" fillId="0" borderId="0" xfId="1" applyFont="1"/>
    <xf numFmtId="164" fontId="9" fillId="0" borderId="0" xfId="1" applyNumberFormat="1" applyFont="1"/>
    <xf numFmtId="0" fontId="6" fillId="6" borderId="4" xfId="0" applyFont="1" applyFill="1" applyBorder="1"/>
    <xf numFmtId="1" fontId="6" fillId="0" borderId="0" xfId="1" quotePrefix="1" applyNumberFormat="1" applyFont="1" applyAlignment="1">
      <alignment horizontal="left"/>
    </xf>
    <xf numFmtId="164" fontId="6" fillId="0" borderId="0" xfId="1" applyNumberFormat="1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164" fontId="6" fillId="7" borderId="4" xfId="0" applyNumberFormat="1" applyFont="1" applyFill="1" applyBorder="1"/>
    <xf numFmtId="0" fontId="6" fillId="7" borderId="0" xfId="0" applyFont="1" applyFill="1"/>
    <xf numFmtId="164" fontId="0" fillId="7" borderId="0" xfId="0" applyNumberFormat="1" applyFill="1"/>
    <xf numFmtId="43" fontId="6" fillId="0" borderId="0" xfId="1" applyFont="1" applyBorder="1"/>
    <xf numFmtId="0" fontId="4" fillId="0" borderId="0" xfId="3"/>
    <xf numFmtId="0" fontId="6" fillId="0" borderId="0" xfId="4" applyFont="1" applyAlignment="1">
      <alignment horizontal="right" wrapText="1"/>
    </xf>
    <xf numFmtId="0" fontId="6" fillId="0" borderId="7" xfId="4" applyFont="1" applyBorder="1" applyAlignment="1">
      <alignment horizontal="right" wrapText="1"/>
    </xf>
    <xf numFmtId="0" fontId="6" fillId="0" borderId="1" xfId="4" applyFont="1" applyBorder="1" applyAlignment="1">
      <alignment horizontal="right" wrapText="1"/>
    </xf>
    <xf numFmtId="0" fontId="6" fillId="0" borderId="0" xfId="4" applyFont="1" applyAlignment="1">
      <alignment horizontal="left" wrapText="1"/>
    </xf>
    <xf numFmtId="0" fontId="4" fillId="0" borderId="0" xfId="3" applyAlignment="1">
      <alignment horizontal="left"/>
    </xf>
    <xf numFmtId="0" fontId="5" fillId="0" borderId="0" xfId="0" applyFont="1" applyAlignment="1">
      <alignment horizontal="right"/>
    </xf>
    <xf numFmtId="3" fontId="5" fillId="0" borderId="0" xfId="0" applyNumberFormat="1" applyFont="1"/>
    <xf numFmtId="3" fontId="5" fillId="3" borderId="0" xfId="1" applyNumberFormat="1" applyFont="1" applyFill="1"/>
    <xf numFmtId="164" fontId="5" fillId="0" borderId="0" xfId="0" applyNumberFormat="1" applyFont="1"/>
    <xf numFmtId="164" fontId="5" fillId="0" borderId="0" xfId="1" applyNumberFormat="1" applyFont="1" applyFill="1"/>
    <xf numFmtId="3" fontId="0" fillId="0" borderId="1" xfId="1" applyNumberFormat="1" applyFont="1" applyBorder="1"/>
    <xf numFmtId="3" fontId="6" fillId="0" borderId="0" xfId="1" applyNumberFormat="1" applyFont="1"/>
    <xf numFmtId="0" fontId="5" fillId="0" borderId="0" xfId="0" applyFont="1"/>
    <xf numFmtId="1" fontId="6" fillId="0" borderId="7" xfId="5" applyNumberFormat="1" applyFont="1" applyBorder="1" applyAlignment="1">
      <alignment horizontal="left" wrapText="1"/>
    </xf>
    <xf numFmtId="1" fontId="6" fillId="0" borderId="1" xfId="5" applyNumberFormat="1" applyFont="1" applyFill="1" applyBorder="1" applyAlignment="1">
      <alignment horizontal="left" wrapText="1"/>
    </xf>
    <xf numFmtId="37" fontId="5" fillId="0" borderId="0" xfId="5" applyNumberFormat="1" applyFont="1" applyBorder="1" applyAlignment="1">
      <alignment horizontal="left"/>
    </xf>
    <xf numFmtId="37" fontId="5" fillId="0" borderId="0" xfId="5" applyNumberFormat="1" applyFont="1" applyFill="1" applyBorder="1" applyAlignment="1">
      <alignment horizontal="left"/>
    </xf>
    <xf numFmtId="37" fontId="5" fillId="0" borderId="0" xfId="4" applyNumberFormat="1" applyAlignment="1">
      <alignment horizontal="left"/>
    </xf>
    <xf numFmtId="37" fontId="5" fillId="0" borderId="1" xfId="5" applyNumberFormat="1" applyFont="1" applyBorder="1" applyAlignment="1">
      <alignment horizontal="left"/>
    </xf>
    <xf numFmtId="37" fontId="5" fillId="0" borderId="1" xfId="5" applyNumberFormat="1" applyFont="1" applyFill="1" applyBorder="1" applyAlignment="1">
      <alignment horizontal="left"/>
    </xf>
    <xf numFmtId="1" fontId="6" fillId="0" borderId="8" xfId="5" applyNumberFormat="1" applyFont="1" applyBorder="1" applyAlignment="1">
      <alignment horizontal="left" wrapText="1"/>
    </xf>
    <xf numFmtId="37" fontId="5" fillId="0" borderId="9" xfId="5" applyNumberFormat="1" applyFont="1" applyBorder="1" applyAlignment="1">
      <alignment horizontal="left"/>
    </xf>
    <xf numFmtId="37" fontId="5" fillId="0" borderId="9" xfId="4" applyNumberFormat="1" applyBorder="1" applyAlignment="1">
      <alignment horizontal="left"/>
    </xf>
    <xf numFmtId="37" fontId="5" fillId="0" borderId="10" xfId="5" applyNumberFormat="1" applyFont="1" applyBorder="1" applyAlignment="1">
      <alignment horizontal="left"/>
    </xf>
    <xf numFmtId="3" fontId="0" fillId="8" borderId="0" xfId="0" applyNumberFormat="1" applyFill="1"/>
    <xf numFmtId="164" fontId="0" fillId="8" borderId="0" xfId="0" applyNumberFormat="1" applyFill="1"/>
    <xf numFmtId="3" fontId="6" fillId="0" borderId="0" xfId="0" applyNumberFormat="1" applyFont="1"/>
    <xf numFmtId="0" fontId="0" fillId="0" borderId="7" xfId="0" applyBorder="1"/>
    <xf numFmtId="0" fontId="0" fillId="0" borderId="7" xfId="0" applyBorder="1" applyAlignment="1">
      <alignment horizontal="right"/>
    </xf>
    <xf numFmtId="0" fontId="5" fillId="0" borderId="7" xfId="0" applyFont="1" applyBorder="1"/>
    <xf numFmtId="164" fontId="5" fillId="0" borderId="0" xfId="1" applyNumberFormat="1" applyFont="1"/>
    <xf numFmtId="164" fontId="5" fillId="0" borderId="0" xfId="1" applyNumberFormat="1" applyFont="1" applyBorder="1"/>
    <xf numFmtId="0" fontId="6" fillId="0" borderId="8" xfId="4" applyFont="1" applyBorder="1" applyAlignment="1">
      <alignment horizontal="center" wrapText="1"/>
    </xf>
    <xf numFmtId="0" fontId="6" fillId="0" borderId="9" xfId="4" applyFont="1" applyBorder="1" applyAlignment="1">
      <alignment horizontal="right" wrapText="1"/>
    </xf>
    <xf numFmtId="0" fontId="6" fillId="0" borderId="10" xfId="4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6" fillId="9" borderId="0" xfId="0" quotePrefix="1" applyFont="1" applyFill="1" applyAlignment="1">
      <alignment horizontal="left"/>
    </xf>
    <xf numFmtId="0" fontId="6" fillId="9" borderId="0" xfId="0" applyFont="1" applyFill="1"/>
    <xf numFmtId="3" fontId="0" fillId="9" borderId="0" xfId="1" applyNumberFormat="1" applyFont="1" applyFill="1"/>
    <xf numFmtId="165" fontId="0" fillId="9" borderId="0" xfId="0" applyNumberFormat="1" applyFill="1" applyAlignment="1">
      <alignment horizontal="right"/>
    </xf>
    <xf numFmtId="165" fontId="5" fillId="9" borderId="0" xfId="0" applyNumberFormat="1" applyFont="1" applyFill="1" applyAlignment="1">
      <alignment horizontal="right"/>
    </xf>
    <xf numFmtId="0" fontId="5" fillId="9" borderId="0" xfId="0" applyFont="1" applyFill="1"/>
    <xf numFmtId="0" fontId="5" fillId="0" borderId="0" xfId="4"/>
    <xf numFmtId="0" fontId="5" fillId="0" borderId="7" xfId="0" applyFont="1" applyBorder="1" applyAlignment="1">
      <alignment horizontal="right"/>
    </xf>
    <xf numFmtId="164" fontId="5" fillId="0" borderId="4" xfId="0" applyNumberFormat="1" applyFont="1" applyBorder="1"/>
    <xf numFmtId="9" fontId="5" fillId="0" borderId="1" xfId="2" applyFont="1" applyBorder="1"/>
    <xf numFmtId="164" fontId="5" fillId="7" borderId="4" xfId="0" applyNumberFormat="1" applyFont="1" applyFill="1" applyBorder="1"/>
    <xf numFmtId="164" fontId="5" fillId="0" borderId="0" xfId="1" applyNumberFormat="1" applyFont="1" applyFill="1" applyBorder="1"/>
    <xf numFmtId="164" fontId="9" fillId="0" borderId="0" xfId="1" applyNumberFormat="1" applyFont="1" applyFill="1"/>
    <xf numFmtId="3" fontId="5" fillId="0" borderId="0" xfId="1" applyNumberFormat="1" applyFont="1" applyFill="1"/>
    <xf numFmtId="164" fontId="6" fillId="0" borderId="12" xfId="1" applyNumberFormat="1" applyFont="1" applyBorder="1"/>
    <xf numFmtId="0" fontId="5" fillId="10" borderId="0" xfId="0" applyFont="1" applyFill="1"/>
    <xf numFmtId="164" fontId="0" fillId="10" borderId="0" xfId="1" applyNumberFormat="1" applyFont="1" applyFill="1"/>
    <xf numFmtId="3" fontId="0" fillId="6" borderId="0" xfId="0" applyNumberFormat="1" applyFill="1"/>
    <xf numFmtId="0" fontId="6" fillId="0" borderId="5" xfId="0" applyFont="1" applyBorder="1"/>
    <xf numFmtId="0" fontId="6" fillId="0" borderId="6" xfId="0" applyFont="1" applyBorder="1"/>
    <xf numFmtId="0" fontId="0" fillId="10" borderId="0" xfId="0" applyFill="1" applyAlignment="1">
      <alignment horizontal="right"/>
    </xf>
    <xf numFmtId="0" fontId="0" fillId="10" borderId="1" xfId="0" applyFill="1" applyBorder="1" applyAlignment="1">
      <alignment horizontal="right"/>
    </xf>
    <xf numFmtId="164" fontId="0" fillId="10" borderId="0" xfId="0" applyNumberFormat="1" applyFill="1" applyAlignment="1">
      <alignment horizontal="right"/>
    </xf>
    <xf numFmtId="164" fontId="6" fillId="0" borderId="0" xfId="1" applyNumberFormat="1" applyFont="1" applyBorder="1" applyAlignment="1">
      <alignment horizontal="right"/>
    </xf>
    <xf numFmtId="0" fontId="6" fillId="0" borderId="0" xfId="4" applyFont="1"/>
    <xf numFmtId="164" fontId="5" fillId="0" borderId="0" xfId="1" applyNumberFormat="1" applyFont="1" applyFill="1" applyBorder="1" applyAlignment="1">
      <alignment horizontal="right"/>
    </xf>
    <xf numFmtId="3" fontId="0" fillId="11" borderId="0" xfId="0" applyNumberFormat="1" applyFill="1"/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0" fontId="3" fillId="0" borderId="13" xfId="3" applyFont="1" applyBorder="1"/>
    <xf numFmtId="0" fontId="0" fillId="0" borderId="13" xfId="0" applyBorder="1"/>
    <xf numFmtId="0" fontId="6" fillId="0" borderId="13" xfId="0" applyFont="1" applyBorder="1" applyAlignment="1">
      <alignment horizontal="left"/>
    </xf>
    <xf numFmtId="0" fontId="6" fillId="0" borderId="13" xfId="0" applyFont="1" applyBorder="1"/>
    <xf numFmtId="3" fontId="5" fillId="0" borderId="13" xfId="0" applyNumberFormat="1" applyFont="1" applyBorder="1"/>
    <xf numFmtId="0" fontId="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8" borderId="0" xfId="0" applyFont="1" applyFill="1" applyAlignment="1">
      <alignment horizontal="right"/>
    </xf>
    <xf numFmtId="0" fontId="11" fillId="13" borderId="0" xfId="0" applyFont="1" applyFill="1" applyAlignment="1">
      <alignment horizontal="right"/>
    </xf>
    <xf numFmtId="0" fontId="11" fillId="12" borderId="0" xfId="0" applyFont="1" applyFill="1" applyAlignment="1">
      <alignment horizontal="right"/>
    </xf>
    <xf numFmtId="3" fontId="0" fillId="0" borderId="0" xfId="0" applyNumberFormat="1" applyAlignment="1">
      <alignment horizontal="right"/>
    </xf>
    <xf numFmtId="164" fontId="5" fillId="0" borderId="0" xfId="1" applyNumberFormat="1" applyFont="1" applyAlignment="1">
      <alignment horizontal="center"/>
    </xf>
    <xf numFmtId="164" fontId="9" fillId="0" borderId="0" xfId="1" applyNumberFormat="1" applyFont="1" applyBorder="1" applyAlignment="1">
      <alignment horizontal="center"/>
    </xf>
    <xf numFmtId="164" fontId="5" fillId="0" borderId="0" xfId="1" applyNumberFormat="1" applyFont="1" applyFill="1" applyAlignment="1">
      <alignment horizontal="center"/>
    </xf>
    <xf numFmtId="165" fontId="5" fillId="11" borderId="0" xfId="0" applyNumberFormat="1" applyFont="1" applyFill="1" applyAlignment="1">
      <alignment horizontal="right"/>
    </xf>
    <xf numFmtId="3" fontId="5" fillId="13" borderId="0" xfId="0" applyNumberFormat="1" applyFont="1" applyFill="1" applyAlignment="1">
      <alignment horizontal="center"/>
    </xf>
    <xf numFmtId="0" fontId="6" fillId="13" borderId="0" xfId="0" applyFont="1" applyFill="1"/>
    <xf numFmtId="43" fontId="0" fillId="0" borderId="0" xfId="0" applyNumberFormat="1"/>
    <xf numFmtId="9" fontId="0" fillId="0" borderId="0" xfId="2" applyFont="1"/>
    <xf numFmtId="0" fontId="2" fillId="0" borderId="0" xfId="7"/>
    <xf numFmtId="0" fontId="6" fillId="0" borderId="14" xfId="0" applyFont="1" applyBorder="1"/>
    <xf numFmtId="0" fontId="6" fillId="0" borderId="15" xfId="0" applyFont="1" applyBorder="1"/>
    <xf numFmtId="164" fontId="0" fillId="10" borderId="1" xfId="0" applyNumberFormat="1" applyFill="1" applyBorder="1" applyAlignment="1">
      <alignment horizontal="right"/>
    </xf>
    <xf numFmtId="0" fontId="6" fillId="11" borderId="0" xfId="0" applyFont="1" applyFill="1"/>
    <xf numFmtId="164" fontId="6" fillId="8" borderId="2" xfId="1" applyNumberFormat="1" applyFont="1" applyFill="1" applyBorder="1"/>
    <xf numFmtId="164" fontId="6" fillId="8" borderId="3" xfId="1" applyNumberFormat="1" applyFont="1" applyFill="1" applyBorder="1"/>
    <xf numFmtId="164" fontId="6" fillId="8" borderId="12" xfId="1" applyNumberFormat="1" applyFont="1" applyFill="1" applyBorder="1"/>
    <xf numFmtId="0" fontId="1" fillId="0" borderId="0" xfId="7" applyFont="1"/>
    <xf numFmtId="0" fontId="6" fillId="14" borderId="0" xfId="0" applyFont="1" applyFill="1" applyAlignment="1">
      <alignment horizontal="right"/>
    </xf>
    <xf numFmtId="0" fontId="5" fillId="15" borderId="0" xfId="0" applyFont="1" applyFill="1"/>
    <xf numFmtId="164" fontId="9" fillId="13" borderId="0" xfId="1" applyNumberFormat="1" applyFont="1" applyFill="1" applyBorder="1" applyAlignment="1">
      <alignment horizontal="center"/>
    </xf>
    <xf numFmtId="164" fontId="6" fillId="13" borderId="0" xfId="1" applyNumberFormat="1" applyFont="1" applyFill="1" applyAlignment="1">
      <alignment horizontal="right"/>
    </xf>
    <xf numFmtId="3" fontId="0" fillId="12" borderId="0" xfId="0" applyNumberFormat="1" applyFill="1"/>
    <xf numFmtId="0" fontId="0" fillId="12" borderId="0" xfId="0" applyFill="1"/>
    <xf numFmtId="164" fontId="9" fillId="12" borderId="0" xfId="1" applyNumberFormat="1" applyFont="1" applyFill="1" applyBorder="1" applyAlignment="1">
      <alignment horizontal="center"/>
    </xf>
    <xf numFmtId="164" fontId="0" fillId="8" borderId="0" xfId="1" applyNumberFormat="1" applyFont="1" applyFill="1"/>
    <xf numFmtId="164" fontId="6" fillId="12" borderId="0" xfId="1" applyNumberFormat="1" applyFont="1" applyFill="1" applyAlignment="1">
      <alignment horizontal="right"/>
    </xf>
    <xf numFmtId="164" fontId="5" fillId="8" borderId="0" xfId="0" applyNumberFormat="1" applyFont="1" applyFill="1"/>
    <xf numFmtId="164" fontId="0" fillId="8" borderId="0" xfId="1" applyNumberFormat="1" applyFont="1" applyFill="1" applyBorder="1"/>
    <xf numFmtId="3" fontId="5" fillId="8" borderId="0" xfId="1" applyNumberFormat="1" applyFont="1" applyFill="1"/>
    <xf numFmtId="3" fontId="5" fillId="8" borderId="0" xfId="0" applyNumberFormat="1" applyFont="1" applyFill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4" fontId="6" fillId="0" borderId="5" xfId="1" applyNumberFormat="1" applyFont="1" applyBorder="1" applyAlignment="1">
      <alignment horizontal="center"/>
    </xf>
    <xf numFmtId="164" fontId="6" fillId="0" borderId="6" xfId="1" applyNumberFormat="1" applyFont="1" applyBorder="1" applyAlignment="1">
      <alignment horizontal="center"/>
    </xf>
    <xf numFmtId="0" fontId="3" fillId="0" borderId="0" xfId="3" applyFont="1" applyAlignment="1">
      <alignment horizontal="center"/>
    </xf>
  </cellXfs>
  <cellStyles count="8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Normal 4" xfId="7" xr:uid="{A20DC09A-9EA2-4722-A724-A1626A3E5314}"/>
    <cellStyle name="Percent" xfId="2" builtinId="5"/>
    <cellStyle name="Percent 2" xfId="6" xr:uid="{00000000-0005-0000-0000-000006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 Baranof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 Baranof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Figures'!$B$2:$B$12</c:f>
              <c:numCache>
                <c:formatCode>General</c:formatCode>
                <c:ptCount val="11"/>
                <c:pt idx="0">
                  <c:v>144000</c:v>
                </c:pt>
                <c:pt idx="1">
                  <c:v>53000</c:v>
                </c:pt>
                <c:pt idx="2">
                  <c:v>186000</c:v>
                </c:pt>
                <c:pt idx="3">
                  <c:v>28500</c:v>
                </c:pt>
                <c:pt idx="4">
                  <c:v>187000</c:v>
                </c:pt>
                <c:pt idx="5">
                  <c:v>118000</c:v>
                </c:pt>
                <c:pt idx="6">
                  <c:v>125000</c:v>
                </c:pt>
                <c:pt idx="7">
                  <c:v>71000</c:v>
                </c:pt>
                <c:pt idx="8">
                  <c:v>317000</c:v>
                </c:pt>
                <c:pt idx="9">
                  <c:v>7200</c:v>
                </c:pt>
                <c:pt idx="10">
                  <c:v>105100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3-4A5A-87B9-9AB9A97A9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 Bluff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Figures'!$C$2:$C$12</c:f>
              <c:numCache>
                <c:formatCode>General</c:formatCode>
                <c:ptCount val="11"/>
                <c:pt idx="0">
                  <c:v>187000</c:v>
                </c:pt>
                <c:pt idx="1">
                  <c:v>150000</c:v>
                </c:pt>
                <c:pt idx="2">
                  <c:v>211500</c:v>
                </c:pt>
                <c:pt idx="3">
                  <c:v>74000</c:v>
                </c:pt>
                <c:pt idx="4">
                  <c:v>200000</c:v>
                </c:pt>
                <c:pt idx="5">
                  <c:v>52900</c:v>
                </c:pt>
                <c:pt idx="6">
                  <c:v>102000</c:v>
                </c:pt>
                <c:pt idx="7">
                  <c:v>103000</c:v>
                </c:pt>
                <c:pt idx="8">
                  <c:v>165000</c:v>
                </c:pt>
                <c:pt idx="9">
                  <c:v>17150</c:v>
                </c:pt>
                <c:pt idx="10">
                  <c:v>80500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5-4A07-B7B9-69B58A066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Kelp Bay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Figures'!$D$2:$D$12</c:f>
              <c:numCache>
                <c:formatCode>General</c:formatCode>
                <c:ptCount val="11"/>
                <c:pt idx="0">
                  <c:v>186000</c:v>
                </c:pt>
                <c:pt idx="1">
                  <c:v>85500</c:v>
                </c:pt>
                <c:pt idx="2">
                  <c:v>225000</c:v>
                </c:pt>
                <c:pt idx="3">
                  <c:v>15800</c:v>
                </c:pt>
                <c:pt idx="4">
                  <c:v>204000</c:v>
                </c:pt>
                <c:pt idx="5">
                  <c:v>10500</c:v>
                </c:pt>
                <c:pt idx="6">
                  <c:v>97000</c:v>
                </c:pt>
                <c:pt idx="7">
                  <c:v>73000</c:v>
                </c:pt>
                <c:pt idx="8">
                  <c:v>120000</c:v>
                </c:pt>
                <c:pt idx="9">
                  <c:v>34500</c:v>
                </c:pt>
                <c:pt idx="10">
                  <c:v>139000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3-4A98-A290-31D56864E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Peril Strait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Figures'!$E$2:$E$12</c:f>
              <c:numCache>
                <c:formatCode>General</c:formatCode>
                <c:ptCount val="11"/>
                <c:pt idx="0">
                  <c:v>581000</c:v>
                </c:pt>
                <c:pt idx="1">
                  <c:v>257600</c:v>
                </c:pt>
                <c:pt idx="2">
                  <c:v>762000</c:v>
                </c:pt>
                <c:pt idx="3">
                  <c:v>67798</c:v>
                </c:pt>
                <c:pt idx="4">
                  <c:v>760000</c:v>
                </c:pt>
                <c:pt idx="5">
                  <c:v>79500</c:v>
                </c:pt>
                <c:pt idx="6">
                  <c:v>842000</c:v>
                </c:pt>
                <c:pt idx="7">
                  <c:v>380200</c:v>
                </c:pt>
                <c:pt idx="8">
                  <c:v>788500</c:v>
                </c:pt>
                <c:pt idx="9">
                  <c:v>235400</c:v>
                </c:pt>
                <c:pt idx="10">
                  <c:v>202150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5-4109-8711-842D53072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Salisbury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Figures'!$F$2:$F$12</c:f>
              <c:numCache>
                <c:formatCode>General</c:formatCode>
                <c:ptCount val="11"/>
                <c:pt idx="0">
                  <c:v>235000</c:v>
                </c:pt>
                <c:pt idx="1">
                  <c:v>173000</c:v>
                </c:pt>
                <c:pt idx="2">
                  <c:v>340000</c:v>
                </c:pt>
                <c:pt idx="3">
                  <c:v>335500</c:v>
                </c:pt>
                <c:pt idx="4">
                  <c:v>501000</c:v>
                </c:pt>
                <c:pt idx="5">
                  <c:v>209000</c:v>
                </c:pt>
                <c:pt idx="6">
                  <c:v>361000</c:v>
                </c:pt>
                <c:pt idx="7">
                  <c:v>215000</c:v>
                </c:pt>
                <c:pt idx="8">
                  <c:v>459000</c:v>
                </c:pt>
                <c:pt idx="9">
                  <c:v>298600</c:v>
                </c:pt>
                <c:pt idx="10">
                  <c:v>257600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E-4E2C-A8E2-77CDA983B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Slocum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Figures'!$G$2:$G$12</c:f>
              <c:numCache>
                <c:formatCode>General</c:formatCode>
                <c:ptCount val="11"/>
                <c:pt idx="0">
                  <c:v>239000</c:v>
                </c:pt>
                <c:pt idx="1">
                  <c:v>353000</c:v>
                </c:pt>
                <c:pt idx="2">
                  <c:v>378000</c:v>
                </c:pt>
                <c:pt idx="3">
                  <c:v>479000</c:v>
                </c:pt>
                <c:pt idx="4">
                  <c:v>806000</c:v>
                </c:pt>
                <c:pt idx="5">
                  <c:v>644000</c:v>
                </c:pt>
                <c:pt idx="6">
                  <c:v>459000</c:v>
                </c:pt>
                <c:pt idx="7">
                  <c:v>513000</c:v>
                </c:pt>
                <c:pt idx="8">
                  <c:v>493000</c:v>
                </c:pt>
                <c:pt idx="9">
                  <c:v>666200</c:v>
                </c:pt>
                <c:pt idx="10">
                  <c:v>373100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C-4407-A0F1-67B938535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Portlock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Figures'!$H$2:$H$12</c:f>
              <c:numCache>
                <c:formatCode>General</c:formatCode>
                <c:ptCount val="11"/>
                <c:pt idx="0">
                  <c:v>212000</c:v>
                </c:pt>
                <c:pt idx="1">
                  <c:v>293000</c:v>
                </c:pt>
                <c:pt idx="2">
                  <c:v>461000</c:v>
                </c:pt>
                <c:pt idx="3">
                  <c:v>420000</c:v>
                </c:pt>
                <c:pt idx="4">
                  <c:v>871000</c:v>
                </c:pt>
                <c:pt idx="5">
                  <c:v>405000</c:v>
                </c:pt>
                <c:pt idx="6">
                  <c:v>568000</c:v>
                </c:pt>
                <c:pt idx="7">
                  <c:v>253000</c:v>
                </c:pt>
                <c:pt idx="8">
                  <c:v>558000</c:v>
                </c:pt>
                <c:pt idx="9">
                  <c:v>358000</c:v>
                </c:pt>
                <c:pt idx="10">
                  <c:v>342000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4-49BB-B92D-EE02A339C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Lisianski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Figures'!$I$2:$I$12</c:f>
              <c:numCache>
                <c:formatCode>General</c:formatCode>
                <c:ptCount val="11"/>
                <c:pt idx="0">
                  <c:v>343000</c:v>
                </c:pt>
                <c:pt idx="1">
                  <c:v>249000</c:v>
                </c:pt>
                <c:pt idx="2">
                  <c:v>397000</c:v>
                </c:pt>
                <c:pt idx="3">
                  <c:v>273000</c:v>
                </c:pt>
                <c:pt idx="4">
                  <c:v>789000</c:v>
                </c:pt>
                <c:pt idx="5">
                  <c:v>268000</c:v>
                </c:pt>
                <c:pt idx="6">
                  <c:v>494000</c:v>
                </c:pt>
                <c:pt idx="7">
                  <c:v>221000</c:v>
                </c:pt>
                <c:pt idx="8">
                  <c:v>855000</c:v>
                </c:pt>
                <c:pt idx="9">
                  <c:v>200000</c:v>
                </c:pt>
                <c:pt idx="10">
                  <c:v>282800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3-4FD1-8088-61320E5D6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Whale</a:t>
            </a:r>
            <a:r>
              <a:rPr lang="en-US" baseline="0"/>
              <a:t> Bay</a:t>
            </a:r>
            <a:r>
              <a:rPr lang="en-US"/>
              <a:t>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Figures'!$J$2:$J$12</c:f>
              <c:numCache>
                <c:formatCode>General</c:formatCode>
                <c:ptCount val="11"/>
                <c:pt idx="0">
                  <c:v>52000</c:v>
                </c:pt>
                <c:pt idx="1">
                  <c:v>44000</c:v>
                </c:pt>
                <c:pt idx="2">
                  <c:v>117000</c:v>
                </c:pt>
                <c:pt idx="3">
                  <c:v>84179</c:v>
                </c:pt>
                <c:pt idx="4">
                  <c:v>487000</c:v>
                </c:pt>
                <c:pt idx="5">
                  <c:v>243000</c:v>
                </c:pt>
                <c:pt idx="6">
                  <c:v>207000</c:v>
                </c:pt>
                <c:pt idx="7">
                  <c:v>60000</c:v>
                </c:pt>
                <c:pt idx="8">
                  <c:v>93000</c:v>
                </c:pt>
                <c:pt idx="9">
                  <c:v>104400</c:v>
                </c:pt>
                <c:pt idx="10">
                  <c:v>142500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D-48D1-A447-FABE21622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W. Crawfish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Figures'!$K$2:$K$12</c:f>
              <c:numCache>
                <c:formatCode>General</c:formatCode>
                <c:ptCount val="11"/>
                <c:pt idx="0">
                  <c:v>40000</c:v>
                </c:pt>
                <c:pt idx="1">
                  <c:v>107000</c:v>
                </c:pt>
                <c:pt idx="2">
                  <c:v>88000</c:v>
                </c:pt>
                <c:pt idx="3">
                  <c:v>140000</c:v>
                </c:pt>
                <c:pt idx="4">
                  <c:v>470000</c:v>
                </c:pt>
                <c:pt idx="5">
                  <c:v>230000</c:v>
                </c:pt>
                <c:pt idx="6">
                  <c:v>178000</c:v>
                </c:pt>
                <c:pt idx="7">
                  <c:v>52000</c:v>
                </c:pt>
                <c:pt idx="8">
                  <c:v>49000</c:v>
                </c:pt>
                <c:pt idx="9">
                  <c:v>30200</c:v>
                </c:pt>
                <c:pt idx="10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A-4C78-B5F0-B7A128A1C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Sitka Sound pink escapement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'Escapement Figures'!$A$2:$A$12</c:f>
              <c:numCache>
                <c:formatCode>General</c:formatCod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numCache>
            </c:numRef>
          </c:cat>
          <c:val>
            <c:numRef>
              <c:f>'Escapement Figures'!$L$2:$L$12</c:f>
              <c:numCache>
                <c:formatCode>General</c:formatCode>
                <c:ptCount val="11"/>
                <c:pt idx="0">
                  <c:v>689000</c:v>
                </c:pt>
                <c:pt idx="1">
                  <c:v>714000</c:v>
                </c:pt>
                <c:pt idx="2">
                  <c:v>935000</c:v>
                </c:pt>
                <c:pt idx="3">
                  <c:v>740000</c:v>
                </c:pt>
                <c:pt idx="4">
                  <c:v>1413000</c:v>
                </c:pt>
                <c:pt idx="5">
                  <c:v>747000</c:v>
                </c:pt>
                <c:pt idx="6">
                  <c:v>573000</c:v>
                </c:pt>
                <c:pt idx="7">
                  <c:v>381000</c:v>
                </c:pt>
                <c:pt idx="8">
                  <c:v>333000</c:v>
                </c:pt>
                <c:pt idx="9">
                  <c:v>240500</c:v>
                </c:pt>
                <c:pt idx="10">
                  <c:v>124500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9-4888-865D-29AB23E7E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780240"/>
        <c:axId val="261643424"/>
      </c:barChart>
      <c:catAx>
        <c:axId val="26378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43424"/>
        <c:crosses val="autoZero"/>
        <c:auto val="1"/>
        <c:lblAlgn val="ctr"/>
        <c:lblOffset val="100"/>
        <c:noMultiLvlLbl val="0"/>
      </c:catAx>
      <c:valAx>
        <c:axId val="261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Escapement estimate</a:t>
                </a:r>
                <a:r>
                  <a:rPr lang="en-US" baseline="0"/>
                  <a:t> (no. of fish)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Port Walter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 Baranof'!$L$45</c:f>
              <c:strCache>
                <c:ptCount val="1"/>
                <c:pt idx="0">
                  <c:v>Escapement Index</c:v>
                </c:pt>
              </c:strCache>
            </c:strRef>
          </c:tx>
          <c:invertIfNegative val="0"/>
          <c:cat>
            <c:numRef>
              <c:f>'SE Baranof'!$K$46:$K$49</c:f>
              <c:numCache>
                <c:formatCode>General</c:formatCode>
                <c:ptCount val="4"/>
                <c:pt idx="0">
                  <c:v>2006</c:v>
                </c:pt>
                <c:pt idx="1">
                  <c:v>2008</c:v>
                </c:pt>
                <c:pt idx="2">
                  <c:v>2010</c:v>
                </c:pt>
                <c:pt idx="3">
                  <c:v>2012</c:v>
                </c:pt>
              </c:numCache>
            </c:numRef>
          </c:cat>
          <c:val>
            <c:numRef>
              <c:f>'SE Baranof'!$L$46:$L$49</c:f>
              <c:numCache>
                <c:formatCode>General</c:formatCode>
                <c:ptCount val="4"/>
                <c:pt idx="0">
                  <c:v>159000</c:v>
                </c:pt>
                <c:pt idx="1">
                  <c:v>36446</c:v>
                </c:pt>
                <c:pt idx="2">
                  <c:v>53000</c:v>
                </c:pt>
                <c:pt idx="3">
                  <c:v>28500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6-4012-93C8-F0096B27D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8464512"/>
        <c:axId val="58466304"/>
      </c:barChart>
      <c:lineChart>
        <c:grouping val="standard"/>
        <c:varyColors val="0"/>
        <c:ser>
          <c:idx val="1"/>
          <c:order val="1"/>
          <c:tx>
            <c:strRef>
              <c:f>'SE Baranof'!$M$45</c:f>
              <c:strCache>
                <c:ptCount val="1"/>
                <c:pt idx="0">
                  <c:v>Lower MTR</c:v>
                </c:pt>
              </c:strCache>
            </c:strRef>
          </c:tx>
          <c:spPr>
            <a:ln w="63500" cmpd="sng">
              <a:solidFill>
                <a:prstClr val="black"/>
              </a:solidFill>
            </a:ln>
          </c:spPr>
          <c:marker>
            <c:symbol val="none"/>
          </c:marker>
          <c:cat>
            <c:numRef>
              <c:f>'SE Baranof'!$K$46:$K$49</c:f>
              <c:numCache>
                <c:formatCode>General</c:formatCode>
                <c:ptCount val="4"/>
                <c:pt idx="0">
                  <c:v>2006</c:v>
                </c:pt>
                <c:pt idx="1">
                  <c:v>2008</c:v>
                </c:pt>
                <c:pt idx="2">
                  <c:v>2010</c:v>
                </c:pt>
                <c:pt idx="3">
                  <c:v>2012</c:v>
                </c:pt>
              </c:numCache>
            </c:numRef>
          </c:cat>
          <c:val>
            <c:numRef>
              <c:f>'SE Baranof'!$M$46:$M$49</c:f>
              <c:numCache>
                <c:formatCode>General</c:formatCode>
                <c:ptCount val="4"/>
                <c:pt idx="0">
                  <c:v>70000</c:v>
                </c:pt>
                <c:pt idx="1">
                  <c:v>70000</c:v>
                </c:pt>
                <c:pt idx="2">
                  <c:v>70000</c:v>
                </c:pt>
                <c:pt idx="3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6-4012-93C8-F0096B27D995}"/>
            </c:ext>
          </c:extLst>
        </c:ser>
        <c:ser>
          <c:idx val="2"/>
          <c:order val="2"/>
          <c:tx>
            <c:strRef>
              <c:f>'SE Baranof'!$N$45</c:f>
              <c:strCache>
                <c:ptCount val="1"/>
                <c:pt idx="0">
                  <c:v>Upper MTR</c:v>
                </c:pt>
              </c:strCache>
            </c:strRef>
          </c:tx>
          <c:spPr>
            <a:ln w="63500">
              <a:solidFill>
                <a:prstClr val="black"/>
              </a:solidFill>
            </a:ln>
          </c:spPr>
          <c:marker>
            <c:symbol val="none"/>
          </c:marker>
          <c:cat>
            <c:numRef>
              <c:f>'SE Baranof'!$K$46:$K$49</c:f>
              <c:numCache>
                <c:formatCode>General</c:formatCode>
                <c:ptCount val="4"/>
                <c:pt idx="0">
                  <c:v>2006</c:v>
                </c:pt>
                <c:pt idx="1">
                  <c:v>2008</c:v>
                </c:pt>
                <c:pt idx="2">
                  <c:v>2010</c:v>
                </c:pt>
                <c:pt idx="3">
                  <c:v>2012</c:v>
                </c:pt>
              </c:numCache>
            </c:numRef>
          </c:cat>
          <c:val>
            <c:numRef>
              <c:f>'SE Baranof'!$N$46:$N$49</c:f>
              <c:numCache>
                <c:formatCode>General</c:formatCode>
                <c:ptCount val="4"/>
                <c:pt idx="0">
                  <c:v>160000</c:v>
                </c:pt>
                <c:pt idx="1">
                  <c:v>160000</c:v>
                </c:pt>
                <c:pt idx="2">
                  <c:v>160000</c:v>
                </c:pt>
                <c:pt idx="3">
                  <c:v>160000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6-4012-93C8-F0096B27D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64512"/>
        <c:axId val="58466304"/>
      </c:lineChart>
      <c:catAx>
        <c:axId val="5846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8466304"/>
        <c:crosses val="autoZero"/>
        <c:auto val="1"/>
        <c:lblAlgn val="ctr"/>
        <c:lblOffset val="100"/>
        <c:noMultiLvlLbl val="0"/>
      </c:catAx>
      <c:valAx>
        <c:axId val="584663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584645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Peril Strait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'Peril Strait'!$F$101</c:f>
              <c:strCache>
                <c:ptCount val="1"/>
                <c:pt idx="0">
                  <c:v>Index Count</c:v>
                </c:pt>
              </c:strCache>
            </c:strRef>
          </c:tx>
          <c:invertIfNegative val="0"/>
          <c:cat>
            <c:numRef>
              <c:f>'Peril Strait'!$G$80:$J$80</c:f>
              <c:numCache>
                <c:formatCode>General</c:formatCode>
                <c:ptCount val="4"/>
                <c:pt idx="0">
                  <c:v>2006</c:v>
                </c:pt>
                <c:pt idx="1">
                  <c:v>2008</c:v>
                </c:pt>
                <c:pt idx="2">
                  <c:v>2010</c:v>
                </c:pt>
                <c:pt idx="3">
                  <c:v>2012</c:v>
                </c:pt>
              </c:numCache>
            </c:numRef>
          </c:cat>
          <c:val>
            <c:numRef>
              <c:f>'Peril Strait'!$G$101:$J$101</c:f>
              <c:numCache>
                <c:formatCode>#,##0</c:formatCode>
                <c:ptCount val="4"/>
                <c:pt idx="0">
                  <c:v>455000</c:v>
                </c:pt>
                <c:pt idx="1">
                  <c:v>91705</c:v>
                </c:pt>
                <c:pt idx="2">
                  <c:v>261708</c:v>
                </c:pt>
                <c:pt idx="3">
                  <c:v>67798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C-41AC-BFAB-2E71074E5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5432448"/>
        <c:axId val="115446528"/>
      </c:barChart>
      <c:lineChart>
        <c:grouping val="standard"/>
        <c:varyColors val="0"/>
        <c:ser>
          <c:idx val="1"/>
          <c:order val="1"/>
          <c:tx>
            <c:strRef>
              <c:f>'Peril Strait'!$F$102</c:f>
              <c:strCache>
                <c:ptCount val="1"/>
                <c:pt idx="0">
                  <c:v>Lower MTR</c:v>
                </c:pt>
              </c:strCache>
            </c:strRef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val>
            <c:numRef>
              <c:f>'Peril Strait'!$G$102:$J$102</c:f>
              <c:numCache>
                <c:formatCode>#,##0</c:formatCode>
                <c:ptCount val="4"/>
                <c:pt idx="0">
                  <c:v>320000</c:v>
                </c:pt>
                <c:pt idx="1">
                  <c:v>320000</c:v>
                </c:pt>
                <c:pt idx="2">
                  <c:v>320000</c:v>
                </c:pt>
                <c:pt idx="3">
                  <c:v>320000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C-41AC-BFAB-2E71074E5B13}"/>
            </c:ext>
          </c:extLst>
        </c:ser>
        <c:ser>
          <c:idx val="2"/>
          <c:order val="2"/>
          <c:tx>
            <c:strRef>
              <c:f>'Peril Strait'!$F$103</c:f>
              <c:strCache>
                <c:ptCount val="1"/>
                <c:pt idx="0">
                  <c:v>Upper MTR</c:v>
                </c:pt>
              </c:strCache>
            </c:strRef>
          </c:tx>
          <c:spPr>
            <a:ln w="571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'Peril Strait'!$G$103:$J$103</c:f>
              <c:numCache>
                <c:formatCode>#,##0</c:formatCode>
                <c:ptCount val="4"/>
                <c:pt idx="0">
                  <c:v>760000</c:v>
                </c:pt>
                <c:pt idx="1">
                  <c:v>760000</c:v>
                </c:pt>
                <c:pt idx="2">
                  <c:v>760000</c:v>
                </c:pt>
                <c:pt idx="3">
                  <c:v>760000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7C-41AC-BFAB-2E71074E5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448"/>
        <c:axId val="115446528"/>
      </c:lineChart>
      <c:catAx>
        <c:axId val="11543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5446528"/>
        <c:crosses val="autoZero"/>
        <c:auto val="1"/>
        <c:lblAlgn val="ctr"/>
        <c:lblOffset val="100"/>
        <c:noMultiLvlLbl val="0"/>
      </c:catAx>
      <c:valAx>
        <c:axId val="115446528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crossAx val="1154324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328612</xdr:colOff>
      <xdr:row>16</xdr:row>
      <xdr:rowOff>185737</xdr:rowOff>
    </xdr:from>
    <xdr:to>
      <xdr:col>8</xdr:col>
      <xdr:colOff>23812</xdr:colOff>
      <xdr:row>34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11E15-52E0-4676-A64A-12E9A6ADC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323850</xdr:colOff>
      <xdr:row>34</xdr:row>
      <xdr:rowOff>152400</xdr:rowOff>
    </xdr:from>
    <xdr:to>
      <xdr:col>8</xdr:col>
      <xdr:colOff>19050</xdr:colOff>
      <xdr:row>49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BD75E4-DA09-4BA6-ADAF-55A8D0B45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17</xdr:col>
      <xdr:colOff>304800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6649EC-F94F-44EF-87C4-AF2E9F053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17</xdr:col>
      <xdr:colOff>304800</xdr:colOff>
      <xdr:row>49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4C4C7C-A773-4345-9464-5EE606C79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95250</xdr:colOff>
      <xdr:row>20</xdr:row>
      <xdr:rowOff>47625</xdr:rowOff>
    </xdr:from>
    <xdr:to>
      <xdr:col>25</xdr:col>
      <xdr:colOff>400050</xdr:colOff>
      <xdr:row>34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F4CD36-B1CC-443F-A089-6A5FFAC89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25</xdr:col>
      <xdr:colOff>304800</xdr:colOff>
      <xdr:row>50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EB0BAA-13FF-412D-ABFD-017B55ECD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20</xdr:row>
      <xdr:rowOff>0</xdr:rowOff>
    </xdr:from>
    <xdr:to>
      <xdr:col>33</xdr:col>
      <xdr:colOff>304800</xdr:colOff>
      <xdr:row>34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245DAC-66A3-40A6-8604-7A1C8167B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36</xdr:row>
      <xdr:rowOff>0</xdr:rowOff>
    </xdr:from>
    <xdr:to>
      <xdr:col>33</xdr:col>
      <xdr:colOff>304800</xdr:colOff>
      <xdr:row>50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F10965-4DA5-43C6-AC95-00F5C78B6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8</xdr:col>
      <xdr:colOff>304800</xdr:colOff>
      <xdr:row>65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53B7207-9F09-4928-B0EF-3DD82C1DE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9525</xdr:colOff>
      <xdr:row>50</xdr:row>
      <xdr:rowOff>142875</xdr:rowOff>
    </xdr:from>
    <xdr:to>
      <xdr:col>17</xdr:col>
      <xdr:colOff>314325</xdr:colOff>
      <xdr:row>65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9A35ED3-1062-4312-90F4-A10FB2525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0</xdr:colOff>
      <xdr:row>51</xdr:row>
      <xdr:rowOff>0</xdr:rowOff>
    </xdr:from>
    <xdr:to>
      <xdr:col>26</xdr:col>
      <xdr:colOff>485775</xdr:colOff>
      <xdr:row>65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4988D1E-53EC-4AEE-92FA-8687EDFFB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676275</xdr:colOff>
      <xdr:row>24</xdr:row>
      <xdr:rowOff>104775</xdr:rowOff>
    </xdr:from>
    <xdr:to>
      <xdr:col>17</xdr:col>
      <xdr:colOff>133350</xdr:colOff>
      <xdr:row>41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846666</xdr:colOff>
      <xdr:row>79</xdr:row>
      <xdr:rowOff>52916</xdr:rowOff>
    </xdr:from>
    <xdr:to>
      <xdr:col>20</xdr:col>
      <xdr:colOff>455083</xdr:colOff>
      <xdr:row>96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upuis, Aaron W (DFG)" id="{133632F1-9F44-4CBB-88B4-2F10C82A207A}" userId="S::aaron.dupuis@alaska.gov::7effdc81-587d-4549-b38e-401a1315e6f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5" dT="2022-09-26T16:53:14.80" personId="{133632F1-9F44-4CBB-88B4-2F10C82A207A}" id="{BA1F4D44-FDD7-400D-9C5A-A00453F6600E}">
    <text>This was the Katherine Island shoreline harvest. Wasn’t sure where else to put it.</text>
  </threadedComment>
  <threadedComment ref="H66" dT="2023-10-25T18:59:04.95" personId="{133632F1-9F44-4CBB-88B4-2F10C82A207A}" id="{8CEA2F2E-4EEA-4C55-839F-1A421EAAF0A6}">
    <text>This was 112 Sitka seine harvest</text>
  </threadedComment>
  <threadedComment ref="J66" dT="2023-10-25T19:00:07.19" personId="{133632F1-9F44-4CBB-88B4-2F10C82A207A}" id="{2758BBC7-81FE-4FDC-ACD0-8D7C776541E7}">
    <text>This is the Hidden Falls THA pink harvest</text>
  </threadedComment>
  <threadedComment ref="J66" dT="2023-10-25T23:20:01.44" personId="{133632F1-9F44-4CBB-88B4-2F10C82A207A}" id="{9029BBDA-216E-41D3-B055-573C1AA619DA}" parentId="{2758BBC7-81FE-4FDC-ACD0-8D7C776541E7}">
    <text>Largest THA harvest since 2013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" dT="2021-10-14T00:56:58.28" personId="{133632F1-9F44-4CBB-88B4-2F10C82A207A}" id="{E523137F-BD82-4E3C-8CAE-41E777EF2A59}">
    <text>Does not include 13338 harvest</text>
  </threadedComment>
  <threadedComment ref="S65" dT="2022-09-26T16:58:18.76" personId="{133632F1-9F44-4CBB-88B4-2F10C82A207A}" id="{856D2EDE-B839-4571-A2E4-C64346DD16C5}">
    <text>Deep Inlet THA harvest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64" dT="2021-09-11T00:31:19.73" personId="{133632F1-9F44-4CBB-88B4-2F10C82A207A}" id="{B064C1B7-6CE9-4D25-A804-FED3B1C07A4D}">
    <text>Something happend here, likely got creek robbed. Not using the highest count for the peak esc count.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72"/>
  <sheetViews>
    <sheetView topLeftCell="A49" workbookViewId="0">
      <selection activeCell="E81" sqref="E81"/>
    </sheetView>
  </sheetViews>
  <sheetFormatPr defaultRowHeight="13.2" x14ac:dyDescent="0.25"/>
  <cols>
    <col min="1" max="1" width="18.6640625" bestFit="1" customWidth="1"/>
    <col min="2" max="2" width="13.5546875" bestFit="1" customWidth="1"/>
    <col min="3" max="3" width="10.5546875" bestFit="1" customWidth="1"/>
  </cols>
  <sheetData>
    <row r="1" spans="1:52" ht="26.4" x14ac:dyDescent="0.25">
      <c r="A1" s="45" t="s">
        <v>157</v>
      </c>
      <c r="B1" s="43"/>
      <c r="C1" s="43" t="s">
        <v>153</v>
      </c>
      <c r="D1" s="15">
        <v>1960</v>
      </c>
      <c r="E1" s="15">
        <v>1961</v>
      </c>
      <c r="F1" s="15">
        <v>1962</v>
      </c>
      <c r="G1" s="15">
        <v>1963</v>
      </c>
      <c r="H1" s="15">
        <v>1964</v>
      </c>
      <c r="I1" s="15">
        <v>1965</v>
      </c>
      <c r="J1" s="15">
        <v>1966</v>
      </c>
      <c r="K1" s="15">
        <v>1967</v>
      </c>
      <c r="L1" s="15">
        <v>1968</v>
      </c>
      <c r="M1" s="15">
        <v>1969</v>
      </c>
      <c r="N1" s="15">
        <v>1970</v>
      </c>
      <c r="O1" s="15">
        <v>1971</v>
      </c>
      <c r="P1" s="15">
        <v>1972</v>
      </c>
      <c r="Q1" s="15">
        <v>1973</v>
      </c>
      <c r="R1" s="15">
        <v>1974</v>
      </c>
      <c r="S1" s="15">
        <v>1975</v>
      </c>
      <c r="T1" s="15">
        <v>1976</v>
      </c>
      <c r="U1" s="15">
        <v>1977</v>
      </c>
      <c r="V1" s="15">
        <v>1978</v>
      </c>
      <c r="W1" s="15">
        <v>1979</v>
      </c>
      <c r="X1" s="15">
        <v>1980</v>
      </c>
      <c r="Y1" s="15">
        <v>1981</v>
      </c>
      <c r="Z1" s="15">
        <v>1982</v>
      </c>
      <c r="AA1" s="15">
        <v>1983</v>
      </c>
      <c r="AB1" s="15">
        <v>1984</v>
      </c>
      <c r="AC1" s="15">
        <v>1985</v>
      </c>
      <c r="AD1" s="15">
        <v>1986</v>
      </c>
      <c r="AE1" s="15">
        <v>1987</v>
      </c>
      <c r="AF1" s="15">
        <v>1988</v>
      </c>
      <c r="AG1" s="15">
        <v>1989</v>
      </c>
      <c r="AH1" s="15">
        <v>1990</v>
      </c>
      <c r="AI1" s="15">
        <v>1991</v>
      </c>
      <c r="AJ1" s="15">
        <v>1992</v>
      </c>
      <c r="AK1" s="15">
        <v>1993</v>
      </c>
      <c r="AL1" s="15">
        <v>1994</v>
      </c>
      <c r="AM1" s="15">
        <v>1995</v>
      </c>
      <c r="AN1" s="15">
        <v>1996</v>
      </c>
      <c r="AO1" s="15">
        <v>1997</v>
      </c>
      <c r="AP1" s="15">
        <v>1998</v>
      </c>
      <c r="AQ1" s="15">
        <v>1999</v>
      </c>
      <c r="AR1" s="15">
        <v>2000</v>
      </c>
      <c r="AS1" s="15">
        <v>2001</v>
      </c>
      <c r="AT1" s="15">
        <v>2002</v>
      </c>
      <c r="AU1" s="15">
        <v>2003</v>
      </c>
      <c r="AV1" s="15">
        <v>2004</v>
      </c>
      <c r="AW1" s="15">
        <v>2005</v>
      </c>
      <c r="AX1" s="15">
        <v>2006</v>
      </c>
      <c r="AY1" s="15">
        <v>2007</v>
      </c>
      <c r="AZ1" s="15">
        <v>2008</v>
      </c>
    </row>
    <row r="2" spans="1:52" x14ac:dyDescent="0.25">
      <c r="A2" t="s">
        <v>158</v>
      </c>
      <c r="B2" s="44" t="s">
        <v>237</v>
      </c>
      <c r="C2" s="44" t="s">
        <v>159</v>
      </c>
      <c r="D2">
        <v>8706</v>
      </c>
      <c r="E2">
        <v>17197</v>
      </c>
      <c r="F2">
        <v>12078</v>
      </c>
      <c r="G2">
        <v>24424</v>
      </c>
      <c r="H2">
        <v>14168</v>
      </c>
      <c r="I2">
        <v>14723</v>
      </c>
      <c r="J2">
        <v>19432</v>
      </c>
      <c r="K2">
        <v>7934</v>
      </c>
      <c r="L2">
        <v>21199</v>
      </c>
      <c r="M2">
        <v>11919</v>
      </c>
      <c r="N2">
        <v>17186</v>
      </c>
      <c r="O2">
        <v>20000</v>
      </c>
      <c r="P2">
        <v>18360</v>
      </c>
      <c r="Q2">
        <v>11896</v>
      </c>
      <c r="R2">
        <v>10753</v>
      </c>
      <c r="S2">
        <v>4971</v>
      </c>
      <c r="T2">
        <v>5929</v>
      </c>
      <c r="U2">
        <v>20000</v>
      </c>
      <c r="V2">
        <v>20000</v>
      </c>
      <c r="W2">
        <v>85000</v>
      </c>
      <c r="X2">
        <v>30000</v>
      </c>
      <c r="Y2">
        <v>50000</v>
      </c>
      <c r="Z2">
        <v>60000</v>
      </c>
      <c r="AA2">
        <v>25800</v>
      </c>
      <c r="AB2">
        <v>30000</v>
      </c>
      <c r="AC2">
        <v>15000</v>
      </c>
      <c r="AD2">
        <v>5000</v>
      </c>
      <c r="AE2">
        <v>10700</v>
      </c>
      <c r="AF2">
        <v>6000</v>
      </c>
      <c r="AG2">
        <v>7000</v>
      </c>
      <c r="AH2">
        <v>10000</v>
      </c>
      <c r="AI2">
        <v>35000</v>
      </c>
      <c r="AJ2">
        <v>31000</v>
      </c>
      <c r="AK2">
        <v>43000</v>
      </c>
      <c r="AL2">
        <v>57000</v>
      </c>
      <c r="AM2">
        <v>85000</v>
      </c>
      <c r="AN2">
        <v>56000</v>
      </c>
      <c r="AO2">
        <v>17000</v>
      </c>
      <c r="AP2">
        <v>7000</v>
      </c>
      <c r="AQ2">
        <v>65000</v>
      </c>
      <c r="AR2">
        <v>31976</v>
      </c>
      <c r="AS2">
        <v>44067</v>
      </c>
      <c r="AT2">
        <v>5000</v>
      </c>
      <c r="AU2">
        <v>12600</v>
      </c>
      <c r="AV2">
        <v>2100</v>
      </c>
      <c r="AW2">
        <v>61000</v>
      </c>
      <c r="AX2">
        <v>31000</v>
      </c>
      <c r="AY2">
        <v>54000</v>
      </c>
      <c r="AZ2" s="46">
        <v>12560.835866774618</v>
      </c>
    </row>
    <row r="3" spans="1:52" x14ac:dyDescent="0.25">
      <c r="A3" t="s">
        <v>158</v>
      </c>
      <c r="B3" s="44" t="s">
        <v>238</v>
      </c>
      <c r="C3" s="44" t="s">
        <v>160</v>
      </c>
      <c r="D3">
        <v>11004</v>
      </c>
      <c r="E3">
        <v>21735</v>
      </c>
      <c r="F3">
        <v>15265</v>
      </c>
      <c r="G3">
        <v>30868</v>
      </c>
      <c r="H3">
        <v>17906</v>
      </c>
      <c r="I3">
        <v>18608</v>
      </c>
      <c r="J3">
        <v>24559</v>
      </c>
      <c r="K3">
        <v>10028</v>
      </c>
      <c r="L3">
        <v>26793</v>
      </c>
      <c r="M3">
        <v>15064</v>
      </c>
      <c r="N3">
        <v>21720</v>
      </c>
      <c r="O3">
        <v>13000</v>
      </c>
      <c r="P3">
        <v>23204</v>
      </c>
      <c r="Q3">
        <v>15035</v>
      </c>
      <c r="R3">
        <v>13591</v>
      </c>
      <c r="S3">
        <v>7000</v>
      </c>
      <c r="T3">
        <v>7494</v>
      </c>
      <c r="U3">
        <v>4000</v>
      </c>
      <c r="V3">
        <v>20000</v>
      </c>
      <c r="W3">
        <v>43000</v>
      </c>
      <c r="X3">
        <v>20000</v>
      </c>
      <c r="Y3">
        <v>20000</v>
      </c>
      <c r="Z3">
        <v>50000</v>
      </c>
      <c r="AA3">
        <v>36200</v>
      </c>
      <c r="AB3">
        <v>30000</v>
      </c>
      <c r="AC3">
        <v>16000</v>
      </c>
      <c r="AD3">
        <v>7500</v>
      </c>
      <c r="AE3">
        <v>8200</v>
      </c>
      <c r="AF3">
        <v>7500</v>
      </c>
      <c r="AG3">
        <v>10000</v>
      </c>
      <c r="AH3">
        <v>26000</v>
      </c>
      <c r="AI3">
        <v>27000</v>
      </c>
      <c r="AJ3">
        <v>41000</v>
      </c>
      <c r="AK3">
        <v>45000</v>
      </c>
      <c r="AL3">
        <v>24000</v>
      </c>
      <c r="AM3">
        <v>52000</v>
      </c>
      <c r="AN3">
        <v>153000</v>
      </c>
      <c r="AO3">
        <v>88500</v>
      </c>
      <c r="AP3">
        <v>210000</v>
      </c>
      <c r="AQ3">
        <v>126000</v>
      </c>
      <c r="AR3">
        <v>35000</v>
      </c>
      <c r="AS3">
        <v>55694</v>
      </c>
      <c r="AT3">
        <v>18000</v>
      </c>
      <c r="AU3">
        <v>13000</v>
      </c>
      <c r="AV3">
        <v>4300</v>
      </c>
      <c r="AW3">
        <v>50000</v>
      </c>
      <c r="AX3">
        <v>28000</v>
      </c>
      <c r="AY3">
        <v>22000</v>
      </c>
      <c r="AZ3">
        <v>15000</v>
      </c>
    </row>
    <row r="4" spans="1:52" x14ac:dyDescent="0.25">
      <c r="A4" t="s">
        <v>158</v>
      </c>
      <c r="B4" s="44" t="s">
        <v>239</v>
      </c>
      <c r="C4" s="44" t="s">
        <v>161</v>
      </c>
      <c r="D4">
        <v>4079</v>
      </c>
      <c r="E4">
        <v>8057</v>
      </c>
      <c r="F4">
        <v>5659</v>
      </c>
      <c r="G4">
        <v>1500</v>
      </c>
      <c r="H4">
        <v>6638</v>
      </c>
      <c r="I4">
        <v>6898</v>
      </c>
      <c r="J4">
        <v>9104</v>
      </c>
      <c r="K4">
        <v>4000</v>
      </c>
      <c r="L4">
        <v>500</v>
      </c>
      <c r="M4">
        <v>5584</v>
      </c>
      <c r="N4">
        <v>5000</v>
      </c>
      <c r="O4">
        <v>10000</v>
      </c>
      <c r="P4">
        <v>12000</v>
      </c>
      <c r="Q4">
        <v>5573</v>
      </c>
      <c r="R4">
        <v>1000</v>
      </c>
      <c r="S4">
        <v>2329</v>
      </c>
      <c r="T4">
        <v>1000</v>
      </c>
      <c r="U4">
        <v>8000</v>
      </c>
      <c r="V4">
        <v>14000</v>
      </c>
      <c r="W4">
        <v>15000</v>
      </c>
      <c r="X4">
        <v>11000</v>
      </c>
      <c r="Y4">
        <v>16000</v>
      </c>
      <c r="Z4">
        <v>23000</v>
      </c>
      <c r="AA4">
        <v>11000</v>
      </c>
      <c r="AB4">
        <v>13000</v>
      </c>
      <c r="AC4">
        <v>22000</v>
      </c>
      <c r="AD4">
        <v>4500</v>
      </c>
      <c r="AE4">
        <v>3000</v>
      </c>
      <c r="AF4">
        <v>5000</v>
      </c>
      <c r="AG4">
        <v>5200</v>
      </c>
      <c r="AH4">
        <v>10000</v>
      </c>
      <c r="AI4">
        <v>13000</v>
      </c>
      <c r="AJ4">
        <v>500</v>
      </c>
      <c r="AK4">
        <v>21000</v>
      </c>
      <c r="AL4">
        <v>9500</v>
      </c>
      <c r="AM4">
        <v>20000</v>
      </c>
      <c r="AN4">
        <v>23000</v>
      </c>
      <c r="AO4">
        <v>15000</v>
      </c>
      <c r="AP4">
        <v>24000</v>
      </c>
      <c r="AQ4">
        <v>30000</v>
      </c>
      <c r="AR4">
        <v>14981</v>
      </c>
      <c r="AS4">
        <v>14000</v>
      </c>
      <c r="AT4">
        <v>20000</v>
      </c>
      <c r="AU4">
        <v>12000</v>
      </c>
      <c r="AV4">
        <v>14500</v>
      </c>
      <c r="AW4">
        <v>26000</v>
      </c>
      <c r="AX4">
        <v>52000</v>
      </c>
      <c r="AY4">
        <v>28000</v>
      </c>
      <c r="AZ4" s="46">
        <v>5884.9141573749857</v>
      </c>
    </row>
    <row r="5" spans="1:52" x14ac:dyDescent="0.25">
      <c r="A5" t="s">
        <v>158</v>
      </c>
      <c r="B5" s="44" t="s">
        <v>251</v>
      </c>
      <c r="C5" s="44" t="s">
        <v>162</v>
      </c>
      <c r="D5">
        <v>4461</v>
      </c>
      <c r="E5">
        <v>8812</v>
      </c>
      <c r="F5">
        <v>6189</v>
      </c>
      <c r="G5">
        <v>12514</v>
      </c>
      <c r="H5">
        <v>7259</v>
      </c>
      <c r="I5">
        <v>7544</v>
      </c>
      <c r="J5">
        <v>9957</v>
      </c>
      <c r="K5">
        <v>4065</v>
      </c>
      <c r="L5">
        <v>10862</v>
      </c>
      <c r="M5">
        <v>6107</v>
      </c>
      <c r="N5">
        <v>8806</v>
      </c>
      <c r="O5">
        <v>10000</v>
      </c>
      <c r="P5">
        <v>500</v>
      </c>
      <c r="Q5">
        <v>6095</v>
      </c>
      <c r="R5">
        <v>6000</v>
      </c>
      <c r="S5">
        <v>2547</v>
      </c>
      <c r="T5">
        <v>3000</v>
      </c>
      <c r="U5">
        <v>6997</v>
      </c>
      <c r="V5">
        <v>30000</v>
      </c>
      <c r="W5">
        <v>17000</v>
      </c>
      <c r="X5">
        <v>18500</v>
      </c>
      <c r="Y5">
        <v>20000</v>
      </c>
      <c r="Z5">
        <v>20000</v>
      </c>
      <c r="AA5">
        <v>5000</v>
      </c>
      <c r="AB5">
        <v>10000</v>
      </c>
      <c r="AC5">
        <v>10000</v>
      </c>
      <c r="AD5">
        <v>7731</v>
      </c>
      <c r="AE5">
        <v>2500</v>
      </c>
      <c r="AF5">
        <v>8056</v>
      </c>
      <c r="AG5">
        <v>9000</v>
      </c>
      <c r="AH5">
        <v>10000</v>
      </c>
      <c r="AI5">
        <v>3500</v>
      </c>
      <c r="AJ5">
        <v>4000</v>
      </c>
      <c r="AK5">
        <v>13500</v>
      </c>
      <c r="AL5">
        <v>23000</v>
      </c>
      <c r="AM5">
        <v>29000</v>
      </c>
      <c r="AN5">
        <v>6000</v>
      </c>
      <c r="AO5">
        <v>12000</v>
      </c>
      <c r="AP5">
        <v>21000</v>
      </c>
      <c r="AQ5">
        <v>30000</v>
      </c>
      <c r="AR5">
        <v>4500</v>
      </c>
      <c r="AS5">
        <v>22579</v>
      </c>
      <c r="AT5">
        <v>19500</v>
      </c>
      <c r="AU5">
        <v>16000</v>
      </c>
      <c r="AV5">
        <v>28000</v>
      </c>
      <c r="AW5">
        <v>48000</v>
      </c>
      <c r="AX5">
        <v>48000</v>
      </c>
      <c r="AY5">
        <v>24000</v>
      </c>
      <c r="AZ5">
        <v>3000</v>
      </c>
    </row>
    <row r="6" spans="1:52" x14ac:dyDescent="0.25">
      <c r="A6" t="s">
        <v>163</v>
      </c>
      <c r="B6" s="44" t="s">
        <v>241</v>
      </c>
      <c r="C6" s="44" t="s">
        <v>164</v>
      </c>
      <c r="D6">
        <v>1421</v>
      </c>
      <c r="E6">
        <v>2807</v>
      </c>
      <c r="F6">
        <v>1971</v>
      </c>
      <c r="G6">
        <v>3000</v>
      </c>
      <c r="H6">
        <v>2312</v>
      </c>
      <c r="I6">
        <v>2403</v>
      </c>
      <c r="J6">
        <v>3171</v>
      </c>
      <c r="K6">
        <v>1295</v>
      </c>
      <c r="L6">
        <v>3460</v>
      </c>
      <c r="M6">
        <v>1945</v>
      </c>
      <c r="N6">
        <v>5000</v>
      </c>
      <c r="O6">
        <v>3000</v>
      </c>
      <c r="P6">
        <v>2996</v>
      </c>
      <c r="Q6">
        <v>1941</v>
      </c>
      <c r="R6">
        <v>1755</v>
      </c>
      <c r="S6">
        <v>811</v>
      </c>
      <c r="T6">
        <v>200</v>
      </c>
      <c r="U6">
        <v>2229</v>
      </c>
      <c r="V6">
        <v>8000</v>
      </c>
      <c r="W6">
        <v>3568</v>
      </c>
      <c r="X6">
        <v>5000</v>
      </c>
      <c r="Y6">
        <v>2000</v>
      </c>
      <c r="Z6">
        <v>3000</v>
      </c>
      <c r="AA6">
        <v>6000</v>
      </c>
      <c r="AB6">
        <v>1000</v>
      </c>
      <c r="AC6">
        <v>5000</v>
      </c>
      <c r="AD6">
        <v>100</v>
      </c>
      <c r="AE6">
        <v>1000</v>
      </c>
      <c r="AF6">
        <v>2566</v>
      </c>
      <c r="AG6">
        <v>4022</v>
      </c>
      <c r="AH6">
        <v>3837</v>
      </c>
      <c r="AI6">
        <v>5014</v>
      </c>
      <c r="AJ6">
        <v>5293</v>
      </c>
      <c r="AK6">
        <v>2000</v>
      </c>
      <c r="AL6">
        <v>2000</v>
      </c>
      <c r="AM6">
        <v>5000</v>
      </c>
      <c r="AN6">
        <v>6401</v>
      </c>
      <c r="AO6">
        <v>3000</v>
      </c>
      <c r="AP6">
        <v>6701</v>
      </c>
      <c r="AQ6">
        <v>13694</v>
      </c>
      <c r="AR6">
        <v>5218</v>
      </c>
      <c r="AS6">
        <v>7192</v>
      </c>
      <c r="AT6">
        <v>7466</v>
      </c>
      <c r="AU6">
        <v>6800</v>
      </c>
      <c r="AV6">
        <v>6800</v>
      </c>
      <c r="AW6">
        <v>9115</v>
      </c>
      <c r="AX6">
        <v>9000</v>
      </c>
      <c r="AY6">
        <v>17000</v>
      </c>
      <c r="AZ6">
        <v>8000</v>
      </c>
    </row>
    <row r="7" spans="1:52" x14ac:dyDescent="0.25">
      <c r="A7" t="s">
        <v>163</v>
      </c>
      <c r="B7" s="44" t="s">
        <v>242</v>
      </c>
      <c r="C7" s="44" t="s">
        <v>165</v>
      </c>
      <c r="D7">
        <v>38427</v>
      </c>
      <c r="E7">
        <v>75903</v>
      </c>
      <c r="F7">
        <v>53308</v>
      </c>
      <c r="G7">
        <v>37000</v>
      </c>
      <c r="H7">
        <v>5000</v>
      </c>
      <c r="I7">
        <v>26000</v>
      </c>
      <c r="J7">
        <v>15000</v>
      </c>
      <c r="K7">
        <v>35018</v>
      </c>
      <c r="L7">
        <v>55000</v>
      </c>
      <c r="M7">
        <v>35000</v>
      </c>
      <c r="N7">
        <v>25000</v>
      </c>
      <c r="O7">
        <v>55000</v>
      </c>
      <c r="P7">
        <v>25000</v>
      </c>
      <c r="Q7">
        <v>5000</v>
      </c>
      <c r="R7">
        <v>5000</v>
      </c>
      <c r="S7">
        <v>20000</v>
      </c>
      <c r="T7">
        <v>2000</v>
      </c>
      <c r="U7">
        <v>62000</v>
      </c>
      <c r="V7">
        <v>25000</v>
      </c>
      <c r="W7">
        <v>70000</v>
      </c>
      <c r="X7">
        <v>23200</v>
      </c>
      <c r="Y7">
        <v>63000</v>
      </c>
      <c r="Z7">
        <v>111000</v>
      </c>
      <c r="AA7">
        <v>75000</v>
      </c>
      <c r="AB7">
        <v>100000</v>
      </c>
      <c r="AC7">
        <v>150000</v>
      </c>
      <c r="AD7">
        <v>68000</v>
      </c>
      <c r="AE7">
        <v>96000</v>
      </c>
      <c r="AF7">
        <v>155000</v>
      </c>
      <c r="AG7">
        <v>115000</v>
      </c>
      <c r="AH7">
        <v>80000</v>
      </c>
      <c r="AI7">
        <v>195000</v>
      </c>
      <c r="AJ7">
        <v>80000</v>
      </c>
      <c r="AK7">
        <v>105000</v>
      </c>
      <c r="AL7">
        <v>320000</v>
      </c>
      <c r="AM7">
        <v>121000</v>
      </c>
      <c r="AN7">
        <v>315000</v>
      </c>
      <c r="AO7">
        <v>267000</v>
      </c>
      <c r="AP7">
        <v>230000</v>
      </c>
      <c r="AQ7">
        <v>540000</v>
      </c>
      <c r="AR7">
        <v>127000</v>
      </c>
      <c r="AS7">
        <v>190000</v>
      </c>
      <c r="AT7">
        <v>150000</v>
      </c>
      <c r="AU7">
        <v>117000</v>
      </c>
      <c r="AV7">
        <v>285000</v>
      </c>
      <c r="AW7">
        <v>361000</v>
      </c>
      <c r="AX7">
        <v>290000</v>
      </c>
      <c r="AY7">
        <v>132000</v>
      </c>
      <c r="AZ7">
        <v>76000</v>
      </c>
    </row>
    <row r="8" spans="1:52" x14ac:dyDescent="0.25">
      <c r="A8" t="s">
        <v>166</v>
      </c>
      <c r="B8" s="44" t="s">
        <v>243</v>
      </c>
      <c r="C8" s="44" t="s">
        <v>167</v>
      </c>
      <c r="D8">
        <v>12775</v>
      </c>
      <c r="E8">
        <v>25233</v>
      </c>
      <c r="F8">
        <v>17722</v>
      </c>
      <c r="G8">
        <v>35836</v>
      </c>
      <c r="H8">
        <v>20788</v>
      </c>
      <c r="I8">
        <v>21602</v>
      </c>
      <c r="J8">
        <v>28512</v>
      </c>
      <c r="K8">
        <v>11641</v>
      </c>
      <c r="L8">
        <v>20000</v>
      </c>
      <c r="M8">
        <v>8000</v>
      </c>
      <c r="N8">
        <v>15000</v>
      </c>
      <c r="O8">
        <v>25000</v>
      </c>
      <c r="P8">
        <v>20000</v>
      </c>
      <c r="Q8">
        <v>17455</v>
      </c>
      <c r="R8">
        <v>10000</v>
      </c>
      <c r="S8">
        <v>10000</v>
      </c>
      <c r="T8">
        <v>2000</v>
      </c>
      <c r="U8">
        <v>20037</v>
      </c>
      <c r="V8">
        <v>7000</v>
      </c>
      <c r="W8">
        <v>32079</v>
      </c>
      <c r="X8">
        <v>9000</v>
      </c>
      <c r="Y8">
        <v>80000</v>
      </c>
      <c r="Z8">
        <v>44000</v>
      </c>
      <c r="AA8">
        <v>30000</v>
      </c>
      <c r="AB8">
        <v>52000</v>
      </c>
      <c r="AC8">
        <v>73000</v>
      </c>
      <c r="AD8">
        <v>28000</v>
      </c>
      <c r="AE8">
        <v>51000</v>
      </c>
      <c r="AF8">
        <v>55000</v>
      </c>
      <c r="AG8">
        <v>63000</v>
      </c>
      <c r="AH8">
        <v>10000</v>
      </c>
      <c r="AI8">
        <v>65000</v>
      </c>
      <c r="AJ8">
        <v>13000</v>
      </c>
      <c r="AK8">
        <v>45000</v>
      </c>
      <c r="AL8">
        <v>56000</v>
      </c>
      <c r="AM8">
        <v>6000</v>
      </c>
      <c r="AN8">
        <v>30000</v>
      </c>
      <c r="AO8">
        <v>81000</v>
      </c>
      <c r="AP8">
        <v>62000</v>
      </c>
      <c r="AQ8">
        <v>106000</v>
      </c>
      <c r="AR8">
        <v>24000</v>
      </c>
      <c r="AS8">
        <v>34000</v>
      </c>
      <c r="AT8">
        <v>15000</v>
      </c>
      <c r="AU8">
        <v>170000</v>
      </c>
      <c r="AV8">
        <v>18000</v>
      </c>
      <c r="AW8">
        <v>157000</v>
      </c>
      <c r="AX8">
        <v>19000</v>
      </c>
      <c r="AY8">
        <v>82000</v>
      </c>
      <c r="AZ8">
        <v>42000</v>
      </c>
    </row>
    <row r="9" spans="1:52" x14ac:dyDescent="0.25">
      <c r="A9" t="s">
        <v>166</v>
      </c>
      <c r="B9" s="44" t="s">
        <v>244</v>
      </c>
      <c r="C9" s="44" t="s">
        <v>168</v>
      </c>
      <c r="D9">
        <v>9259</v>
      </c>
      <c r="E9">
        <v>18288</v>
      </c>
      <c r="F9">
        <v>12844</v>
      </c>
      <c r="G9">
        <v>25973</v>
      </c>
      <c r="H9">
        <v>15066</v>
      </c>
      <c r="I9">
        <v>15657</v>
      </c>
      <c r="J9">
        <v>20664</v>
      </c>
      <c r="K9">
        <v>8437</v>
      </c>
      <c r="L9">
        <v>22544</v>
      </c>
      <c r="M9">
        <v>12675</v>
      </c>
      <c r="N9">
        <v>1000</v>
      </c>
      <c r="O9">
        <v>5000</v>
      </c>
      <c r="P9">
        <v>19524</v>
      </c>
      <c r="Q9">
        <v>12651</v>
      </c>
      <c r="R9">
        <v>11436</v>
      </c>
      <c r="S9">
        <v>5286</v>
      </c>
      <c r="T9">
        <v>1500</v>
      </c>
      <c r="U9">
        <v>12500</v>
      </c>
      <c r="V9">
        <v>8000</v>
      </c>
      <c r="W9">
        <v>20000</v>
      </c>
      <c r="X9">
        <v>800</v>
      </c>
      <c r="Y9">
        <v>10000</v>
      </c>
      <c r="Z9">
        <v>6000</v>
      </c>
      <c r="AA9">
        <v>12000</v>
      </c>
      <c r="AB9">
        <v>10000</v>
      </c>
      <c r="AC9">
        <v>28000</v>
      </c>
      <c r="AD9">
        <v>3000</v>
      </c>
      <c r="AE9">
        <v>10000</v>
      </c>
      <c r="AF9">
        <v>1500</v>
      </c>
      <c r="AG9">
        <v>20000</v>
      </c>
      <c r="AH9">
        <v>7000</v>
      </c>
      <c r="AI9">
        <v>30000</v>
      </c>
      <c r="AJ9">
        <v>5000</v>
      </c>
      <c r="AK9">
        <v>19000</v>
      </c>
      <c r="AL9">
        <v>19000</v>
      </c>
      <c r="AM9">
        <v>11000</v>
      </c>
      <c r="AN9">
        <v>37000</v>
      </c>
      <c r="AO9">
        <v>41000</v>
      </c>
      <c r="AP9">
        <v>17000</v>
      </c>
      <c r="AQ9">
        <v>118000</v>
      </c>
      <c r="AR9">
        <v>37000</v>
      </c>
      <c r="AS9">
        <v>150000</v>
      </c>
      <c r="AT9">
        <v>28000</v>
      </c>
      <c r="AU9">
        <v>250000</v>
      </c>
      <c r="AV9">
        <v>24000</v>
      </c>
      <c r="AW9">
        <v>124000</v>
      </c>
      <c r="AX9">
        <v>4000</v>
      </c>
      <c r="AY9">
        <v>52000</v>
      </c>
      <c r="AZ9">
        <v>18000</v>
      </c>
    </row>
    <row r="10" spans="1:52" x14ac:dyDescent="0.25">
      <c r="A10" t="s">
        <v>166</v>
      </c>
      <c r="B10" s="44" t="s">
        <v>245</v>
      </c>
      <c r="C10" s="44" t="s">
        <v>169</v>
      </c>
      <c r="D10">
        <v>5646</v>
      </c>
      <c r="E10">
        <v>11152</v>
      </c>
      <c r="F10">
        <v>7832</v>
      </c>
      <c r="G10">
        <v>15838</v>
      </c>
      <c r="H10">
        <v>9187</v>
      </c>
      <c r="I10">
        <v>9547</v>
      </c>
      <c r="J10">
        <v>12601</v>
      </c>
      <c r="K10">
        <v>5145</v>
      </c>
      <c r="L10">
        <v>13747</v>
      </c>
      <c r="M10">
        <v>7729</v>
      </c>
      <c r="N10">
        <v>3000</v>
      </c>
      <c r="O10">
        <v>12000</v>
      </c>
      <c r="P10">
        <v>3000</v>
      </c>
      <c r="Q10">
        <v>7714</v>
      </c>
      <c r="R10">
        <v>3000</v>
      </c>
      <c r="S10">
        <v>3223</v>
      </c>
      <c r="T10">
        <v>3845</v>
      </c>
      <c r="U10">
        <v>12500</v>
      </c>
      <c r="V10">
        <v>18000</v>
      </c>
      <c r="W10">
        <v>20000</v>
      </c>
      <c r="X10">
        <v>23600</v>
      </c>
      <c r="Y10">
        <v>50000</v>
      </c>
      <c r="Z10">
        <v>33000</v>
      </c>
      <c r="AA10">
        <v>12300</v>
      </c>
      <c r="AB10">
        <v>20000</v>
      </c>
      <c r="AC10">
        <v>22000</v>
      </c>
      <c r="AD10">
        <v>4000</v>
      </c>
      <c r="AE10">
        <v>6500</v>
      </c>
      <c r="AF10">
        <v>11000</v>
      </c>
      <c r="AG10">
        <v>15000</v>
      </c>
      <c r="AH10">
        <v>12000</v>
      </c>
      <c r="AI10">
        <v>35000</v>
      </c>
      <c r="AJ10">
        <v>14000</v>
      </c>
      <c r="AK10">
        <v>35000</v>
      </c>
      <c r="AL10">
        <v>40000</v>
      </c>
      <c r="AM10">
        <v>2500</v>
      </c>
      <c r="AN10">
        <v>6000</v>
      </c>
      <c r="AO10">
        <v>31000</v>
      </c>
      <c r="AP10">
        <v>21000</v>
      </c>
      <c r="AQ10">
        <v>21000</v>
      </c>
      <c r="AR10">
        <v>20000</v>
      </c>
      <c r="AS10">
        <v>11000</v>
      </c>
      <c r="AT10">
        <v>12000</v>
      </c>
      <c r="AU10">
        <v>55000</v>
      </c>
      <c r="AV10">
        <v>34000</v>
      </c>
      <c r="AW10">
        <v>48000</v>
      </c>
      <c r="AX10">
        <v>16000</v>
      </c>
      <c r="AY10">
        <v>17000</v>
      </c>
      <c r="AZ10">
        <v>11000</v>
      </c>
    </row>
    <row r="11" spans="1:52" x14ac:dyDescent="0.25">
      <c r="A11" t="s">
        <v>166</v>
      </c>
      <c r="B11" s="44" t="s">
        <v>246</v>
      </c>
      <c r="C11" s="44" t="s">
        <v>170</v>
      </c>
      <c r="D11">
        <v>1442</v>
      </c>
      <c r="E11">
        <v>2848</v>
      </c>
      <c r="F11">
        <v>2000</v>
      </c>
      <c r="G11">
        <v>4045</v>
      </c>
      <c r="H11">
        <v>2346</v>
      </c>
      <c r="I11">
        <v>2438</v>
      </c>
      <c r="J11">
        <v>3218</v>
      </c>
      <c r="K11">
        <v>1314</v>
      </c>
      <c r="L11">
        <v>3511</v>
      </c>
      <c r="M11">
        <v>1974</v>
      </c>
      <c r="N11">
        <v>2846</v>
      </c>
      <c r="O11">
        <v>2000</v>
      </c>
      <c r="P11">
        <v>3040</v>
      </c>
      <c r="Q11">
        <v>1970</v>
      </c>
      <c r="R11">
        <v>1781</v>
      </c>
      <c r="S11">
        <v>823</v>
      </c>
      <c r="T11">
        <v>982</v>
      </c>
      <c r="U11">
        <v>2261</v>
      </c>
      <c r="V11">
        <v>2600</v>
      </c>
      <c r="W11">
        <v>3621</v>
      </c>
      <c r="X11">
        <v>2256</v>
      </c>
      <c r="Y11">
        <v>6000</v>
      </c>
      <c r="Z11">
        <v>15000</v>
      </c>
      <c r="AA11">
        <v>2939</v>
      </c>
      <c r="AB11">
        <v>2000</v>
      </c>
      <c r="AC11">
        <v>3000</v>
      </c>
      <c r="AD11">
        <v>600</v>
      </c>
      <c r="AE11">
        <v>6000</v>
      </c>
      <c r="AF11">
        <v>500</v>
      </c>
      <c r="AG11">
        <v>9000</v>
      </c>
      <c r="AH11">
        <v>3500</v>
      </c>
      <c r="AI11">
        <v>10000</v>
      </c>
      <c r="AJ11">
        <v>5372</v>
      </c>
      <c r="AK11">
        <v>12000</v>
      </c>
      <c r="AL11">
        <v>2000</v>
      </c>
      <c r="AM11">
        <v>4389</v>
      </c>
      <c r="AN11">
        <v>4500</v>
      </c>
      <c r="AO11">
        <v>8177</v>
      </c>
      <c r="AP11">
        <v>6800</v>
      </c>
      <c r="AQ11">
        <v>13896</v>
      </c>
      <c r="AR11">
        <v>5295</v>
      </c>
      <c r="AS11">
        <v>7298</v>
      </c>
      <c r="AT11">
        <v>7576</v>
      </c>
      <c r="AU11">
        <v>1500</v>
      </c>
      <c r="AV11">
        <v>2800</v>
      </c>
      <c r="AW11">
        <v>9000</v>
      </c>
      <c r="AX11">
        <v>2500</v>
      </c>
      <c r="AY11">
        <v>6564</v>
      </c>
      <c r="AZ11">
        <v>1600</v>
      </c>
    </row>
    <row r="12" spans="1:52" x14ac:dyDescent="0.25">
      <c r="A12" t="s">
        <v>171</v>
      </c>
      <c r="B12" s="44" t="s">
        <v>40</v>
      </c>
      <c r="C12" s="44" t="s">
        <v>172</v>
      </c>
      <c r="D12">
        <v>2993</v>
      </c>
      <c r="E12">
        <v>5912</v>
      </c>
      <c r="F12">
        <v>4152</v>
      </c>
      <c r="G12">
        <v>8396</v>
      </c>
      <c r="H12">
        <v>4870</v>
      </c>
      <c r="I12">
        <v>3000</v>
      </c>
      <c r="J12">
        <v>6680</v>
      </c>
      <c r="K12">
        <v>2728</v>
      </c>
      <c r="L12">
        <v>7288</v>
      </c>
      <c r="M12">
        <v>4097</v>
      </c>
      <c r="N12">
        <v>5908</v>
      </c>
      <c r="O12">
        <v>6484</v>
      </c>
      <c r="P12">
        <v>6312</v>
      </c>
      <c r="Q12">
        <v>4090</v>
      </c>
      <c r="R12">
        <v>3697</v>
      </c>
      <c r="S12">
        <v>1709</v>
      </c>
      <c r="T12">
        <v>2038</v>
      </c>
      <c r="U12">
        <v>4694</v>
      </c>
      <c r="V12">
        <v>5398</v>
      </c>
      <c r="W12">
        <v>2000</v>
      </c>
      <c r="X12">
        <v>4683</v>
      </c>
      <c r="Y12">
        <v>18000</v>
      </c>
      <c r="Z12">
        <v>5000</v>
      </c>
      <c r="AA12">
        <v>4000</v>
      </c>
      <c r="AB12">
        <v>10000</v>
      </c>
      <c r="AC12">
        <v>12499</v>
      </c>
      <c r="AD12">
        <v>200</v>
      </c>
      <c r="AE12">
        <v>1000</v>
      </c>
      <c r="AF12">
        <v>400</v>
      </c>
      <c r="AG12">
        <v>8473</v>
      </c>
      <c r="AH12">
        <v>1000</v>
      </c>
      <c r="AI12">
        <v>10561</v>
      </c>
      <c r="AJ12">
        <v>11151</v>
      </c>
      <c r="AK12">
        <v>8000</v>
      </c>
      <c r="AL12">
        <v>18524</v>
      </c>
      <c r="AM12">
        <v>9110</v>
      </c>
      <c r="AN12">
        <v>5900</v>
      </c>
      <c r="AO12">
        <v>16974</v>
      </c>
      <c r="AP12">
        <v>7000</v>
      </c>
      <c r="AQ12">
        <v>42000</v>
      </c>
      <c r="AR12">
        <v>10993</v>
      </c>
      <c r="AS12">
        <v>15149</v>
      </c>
      <c r="AT12">
        <v>15727</v>
      </c>
      <c r="AU12">
        <v>24000</v>
      </c>
      <c r="AV12">
        <v>15000</v>
      </c>
      <c r="AW12">
        <v>20000</v>
      </c>
      <c r="AX12">
        <v>19000</v>
      </c>
      <c r="AY12">
        <v>24000</v>
      </c>
      <c r="AZ12">
        <v>1500</v>
      </c>
    </row>
    <row r="13" spans="1:52" x14ac:dyDescent="0.25">
      <c r="A13" t="s">
        <v>171</v>
      </c>
      <c r="B13" s="44" t="s">
        <v>41</v>
      </c>
      <c r="C13" s="44" t="s">
        <v>173</v>
      </c>
      <c r="D13">
        <v>4852</v>
      </c>
      <c r="E13">
        <v>9583</v>
      </c>
      <c r="F13">
        <v>6730</v>
      </c>
      <c r="G13">
        <v>13610</v>
      </c>
      <c r="H13">
        <v>7895</v>
      </c>
      <c r="I13">
        <v>8204</v>
      </c>
      <c r="J13">
        <v>10828</v>
      </c>
      <c r="K13">
        <v>4421</v>
      </c>
      <c r="L13">
        <v>11813</v>
      </c>
      <c r="M13">
        <v>6642</v>
      </c>
      <c r="N13">
        <v>9577</v>
      </c>
      <c r="O13">
        <v>10510</v>
      </c>
      <c r="P13">
        <v>500</v>
      </c>
      <c r="Q13">
        <v>6629</v>
      </c>
      <c r="R13">
        <v>5992</v>
      </c>
      <c r="S13">
        <v>2770</v>
      </c>
      <c r="T13">
        <v>3304</v>
      </c>
      <c r="U13">
        <v>7609</v>
      </c>
      <c r="V13">
        <v>8749</v>
      </c>
      <c r="W13">
        <v>12183</v>
      </c>
      <c r="X13">
        <v>8000</v>
      </c>
      <c r="Y13">
        <v>20000</v>
      </c>
      <c r="Z13">
        <v>30000</v>
      </c>
      <c r="AA13">
        <v>10000</v>
      </c>
      <c r="AB13">
        <v>5000</v>
      </c>
      <c r="AC13">
        <v>20261</v>
      </c>
      <c r="AD13">
        <v>5000</v>
      </c>
      <c r="AE13">
        <v>9000</v>
      </c>
      <c r="AF13">
        <v>7000</v>
      </c>
      <c r="AG13">
        <v>18000</v>
      </c>
      <c r="AH13">
        <v>25000</v>
      </c>
      <c r="AI13">
        <v>20000</v>
      </c>
      <c r="AJ13">
        <v>22500</v>
      </c>
      <c r="AK13">
        <v>12000</v>
      </c>
      <c r="AL13">
        <v>40000</v>
      </c>
      <c r="AM13">
        <v>10000</v>
      </c>
      <c r="AN13">
        <v>37000</v>
      </c>
      <c r="AO13">
        <v>3500</v>
      </c>
      <c r="AP13">
        <v>8000</v>
      </c>
      <c r="AQ13">
        <v>46758</v>
      </c>
      <c r="AR13">
        <v>17818</v>
      </c>
      <c r="AS13">
        <v>24556</v>
      </c>
      <c r="AT13">
        <v>25493</v>
      </c>
      <c r="AU13">
        <v>36000</v>
      </c>
      <c r="AV13">
        <v>31000</v>
      </c>
      <c r="AW13">
        <v>10000</v>
      </c>
      <c r="AX13">
        <v>19000</v>
      </c>
      <c r="AY13">
        <v>25000</v>
      </c>
      <c r="AZ13">
        <v>2500</v>
      </c>
    </row>
    <row r="14" spans="1:52" x14ac:dyDescent="0.25">
      <c r="A14" t="s">
        <v>171</v>
      </c>
      <c r="B14" s="44" t="s">
        <v>152</v>
      </c>
      <c r="C14" s="44" t="s">
        <v>174</v>
      </c>
      <c r="D14">
        <v>700</v>
      </c>
      <c r="E14">
        <v>9595</v>
      </c>
      <c r="F14">
        <v>6739</v>
      </c>
      <c r="G14">
        <v>13627</v>
      </c>
      <c r="H14">
        <v>7905</v>
      </c>
      <c r="I14">
        <v>4000</v>
      </c>
      <c r="J14">
        <v>10842</v>
      </c>
      <c r="K14">
        <v>4427</v>
      </c>
      <c r="L14">
        <v>11828</v>
      </c>
      <c r="M14">
        <v>6650</v>
      </c>
      <c r="N14">
        <v>9589</v>
      </c>
      <c r="O14">
        <v>5000</v>
      </c>
      <c r="P14">
        <v>10244</v>
      </c>
      <c r="Q14">
        <v>6637</v>
      </c>
      <c r="R14">
        <v>6000</v>
      </c>
      <c r="S14">
        <v>2773</v>
      </c>
      <c r="T14">
        <v>3308</v>
      </c>
      <c r="U14">
        <v>7619</v>
      </c>
      <c r="V14">
        <v>8760</v>
      </c>
      <c r="W14">
        <v>4000</v>
      </c>
      <c r="X14">
        <v>7600</v>
      </c>
      <c r="Y14">
        <v>8297</v>
      </c>
      <c r="Z14">
        <v>11555</v>
      </c>
      <c r="AA14">
        <v>9901</v>
      </c>
      <c r="AB14">
        <v>10187</v>
      </c>
      <c r="AC14">
        <v>20286</v>
      </c>
      <c r="AD14">
        <v>3000</v>
      </c>
      <c r="AE14">
        <v>13018</v>
      </c>
      <c r="AF14">
        <v>8773</v>
      </c>
      <c r="AG14">
        <v>13752</v>
      </c>
      <c r="AH14">
        <v>13118</v>
      </c>
      <c r="AI14">
        <v>17141</v>
      </c>
      <c r="AJ14">
        <v>18098</v>
      </c>
      <c r="AK14">
        <v>17512</v>
      </c>
      <c r="AL14">
        <v>30065</v>
      </c>
      <c r="AM14">
        <v>14786</v>
      </c>
      <c r="AN14">
        <v>21885</v>
      </c>
      <c r="AO14">
        <v>13000</v>
      </c>
      <c r="AP14">
        <v>18000</v>
      </c>
      <c r="AQ14">
        <v>37000</v>
      </c>
      <c r="AR14">
        <v>17841</v>
      </c>
      <c r="AS14">
        <v>24587</v>
      </c>
      <c r="AT14">
        <v>25525</v>
      </c>
      <c r="AU14">
        <v>95000</v>
      </c>
      <c r="AV14">
        <v>25000</v>
      </c>
      <c r="AW14">
        <v>28000</v>
      </c>
      <c r="AX14">
        <v>13000</v>
      </c>
      <c r="AY14">
        <v>23000</v>
      </c>
      <c r="AZ14">
        <v>2100</v>
      </c>
    </row>
    <row r="15" spans="1:52" x14ac:dyDescent="0.25">
      <c r="A15" t="s">
        <v>171</v>
      </c>
      <c r="B15" s="44" t="s">
        <v>137</v>
      </c>
      <c r="C15" s="44" t="s">
        <v>175</v>
      </c>
      <c r="D15">
        <v>2955</v>
      </c>
      <c r="E15">
        <v>5836</v>
      </c>
      <c r="F15">
        <v>4099</v>
      </c>
      <c r="G15">
        <v>2000</v>
      </c>
      <c r="H15">
        <v>4808</v>
      </c>
      <c r="I15">
        <v>4996</v>
      </c>
      <c r="J15">
        <v>6594</v>
      </c>
      <c r="K15">
        <v>2692</v>
      </c>
      <c r="L15">
        <v>7194</v>
      </c>
      <c r="M15">
        <v>4045</v>
      </c>
      <c r="N15">
        <v>5832</v>
      </c>
      <c r="O15">
        <v>6400</v>
      </c>
      <c r="P15">
        <v>6231</v>
      </c>
      <c r="Q15">
        <v>4037</v>
      </c>
      <c r="R15">
        <v>3649</v>
      </c>
      <c r="S15">
        <v>1687</v>
      </c>
      <c r="T15">
        <v>2012</v>
      </c>
      <c r="U15">
        <v>4634</v>
      </c>
      <c r="V15">
        <v>5328</v>
      </c>
      <c r="W15">
        <v>4000</v>
      </c>
      <c r="X15">
        <v>4000</v>
      </c>
      <c r="Y15">
        <v>1000</v>
      </c>
      <c r="Z15">
        <v>3200</v>
      </c>
      <c r="AA15">
        <v>3000</v>
      </c>
      <c r="AB15">
        <v>2000</v>
      </c>
      <c r="AC15">
        <v>1000</v>
      </c>
      <c r="AD15">
        <v>5121</v>
      </c>
      <c r="AE15">
        <v>3000</v>
      </c>
      <c r="AF15">
        <v>5336</v>
      </c>
      <c r="AG15">
        <v>12000</v>
      </c>
      <c r="AH15">
        <v>7979</v>
      </c>
      <c r="AI15">
        <v>12000</v>
      </c>
      <c r="AJ15">
        <v>11008</v>
      </c>
      <c r="AK15">
        <v>20000</v>
      </c>
      <c r="AL15">
        <v>18286</v>
      </c>
      <c r="AM15">
        <v>8993</v>
      </c>
      <c r="AN15">
        <v>8000</v>
      </c>
      <c r="AO15">
        <v>16756</v>
      </c>
      <c r="AP15">
        <v>14000</v>
      </c>
      <c r="AQ15">
        <v>28476</v>
      </c>
      <c r="AR15">
        <v>10851</v>
      </c>
      <c r="AS15">
        <v>14955</v>
      </c>
      <c r="AT15">
        <v>15525</v>
      </c>
      <c r="AU15">
        <v>18956</v>
      </c>
      <c r="AV15">
        <v>14787</v>
      </c>
      <c r="AW15">
        <v>18000</v>
      </c>
      <c r="AX15">
        <v>32000</v>
      </c>
      <c r="AY15">
        <v>26000</v>
      </c>
      <c r="AZ15">
        <v>1100</v>
      </c>
    </row>
    <row r="16" spans="1:52" x14ac:dyDescent="0.25">
      <c r="A16" t="s">
        <v>171</v>
      </c>
      <c r="B16" s="44" t="s">
        <v>135</v>
      </c>
      <c r="C16" s="44" t="s">
        <v>176</v>
      </c>
      <c r="D16">
        <v>9500</v>
      </c>
      <c r="E16">
        <v>35000</v>
      </c>
      <c r="F16">
        <v>9200</v>
      </c>
      <c r="G16">
        <v>52000</v>
      </c>
      <c r="H16">
        <v>17000</v>
      </c>
      <c r="I16">
        <v>50000</v>
      </c>
      <c r="J16">
        <v>27207</v>
      </c>
      <c r="K16">
        <v>11109</v>
      </c>
      <c r="L16">
        <v>37000</v>
      </c>
      <c r="M16">
        <v>30000</v>
      </c>
      <c r="N16">
        <v>15000</v>
      </c>
      <c r="O16">
        <v>10000</v>
      </c>
      <c r="P16">
        <v>21500</v>
      </c>
      <c r="Q16">
        <v>5000</v>
      </c>
      <c r="R16">
        <v>8000</v>
      </c>
      <c r="S16">
        <v>5000</v>
      </c>
      <c r="T16">
        <v>12000</v>
      </c>
      <c r="U16">
        <v>8000</v>
      </c>
      <c r="V16">
        <v>55000</v>
      </c>
      <c r="W16">
        <v>27000</v>
      </c>
      <c r="X16">
        <v>18300</v>
      </c>
      <c r="Y16">
        <v>33000</v>
      </c>
      <c r="Z16">
        <v>45000</v>
      </c>
      <c r="AA16">
        <v>30000</v>
      </c>
      <c r="AB16">
        <v>35000</v>
      </c>
      <c r="AC16">
        <v>48000</v>
      </c>
      <c r="AD16">
        <v>23000</v>
      </c>
      <c r="AE16">
        <v>30000</v>
      </c>
      <c r="AF16">
        <v>20000</v>
      </c>
      <c r="AG16">
        <v>54000</v>
      </c>
      <c r="AH16">
        <v>18000</v>
      </c>
      <c r="AI16">
        <v>56000</v>
      </c>
      <c r="AJ16">
        <v>25000</v>
      </c>
      <c r="AK16">
        <v>45000</v>
      </c>
      <c r="AL16">
        <v>27000</v>
      </c>
      <c r="AM16">
        <v>7000</v>
      </c>
      <c r="AN16">
        <v>16000</v>
      </c>
      <c r="AO16">
        <v>24000</v>
      </c>
      <c r="AP16">
        <v>38700</v>
      </c>
      <c r="AQ16">
        <v>56000</v>
      </c>
      <c r="AR16">
        <v>35000</v>
      </c>
      <c r="AS16">
        <v>82000</v>
      </c>
      <c r="AT16">
        <v>13000</v>
      </c>
      <c r="AU16">
        <v>273000</v>
      </c>
      <c r="AV16">
        <v>22000</v>
      </c>
      <c r="AW16">
        <v>146000</v>
      </c>
      <c r="AX16">
        <v>11000</v>
      </c>
      <c r="AY16">
        <v>79000</v>
      </c>
      <c r="AZ16">
        <v>5000</v>
      </c>
    </row>
    <row r="17" spans="1:52" x14ac:dyDescent="0.25">
      <c r="A17" t="s">
        <v>171</v>
      </c>
      <c r="B17" s="44" t="s">
        <v>116</v>
      </c>
      <c r="C17" s="44" t="s">
        <v>177</v>
      </c>
      <c r="D17">
        <v>4000</v>
      </c>
      <c r="E17">
        <v>5385</v>
      </c>
      <c r="F17">
        <v>2000</v>
      </c>
      <c r="G17">
        <v>17000</v>
      </c>
      <c r="H17">
        <v>8000</v>
      </c>
      <c r="I17">
        <v>3000</v>
      </c>
      <c r="J17">
        <v>6085</v>
      </c>
      <c r="K17">
        <v>2484</v>
      </c>
      <c r="L17">
        <v>7000</v>
      </c>
      <c r="M17">
        <v>3732</v>
      </c>
      <c r="N17">
        <v>8000</v>
      </c>
      <c r="O17">
        <v>2000</v>
      </c>
      <c r="P17">
        <v>1500</v>
      </c>
      <c r="Q17">
        <v>1250</v>
      </c>
      <c r="R17">
        <v>1500</v>
      </c>
      <c r="S17">
        <v>1557</v>
      </c>
      <c r="T17">
        <v>5000</v>
      </c>
      <c r="U17">
        <v>5500</v>
      </c>
      <c r="V17">
        <v>15000</v>
      </c>
      <c r="W17">
        <v>15000</v>
      </c>
      <c r="X17">
        <v>2000</v>
      </c>
      <c r="Y17">
        <v>10000</v>
      </c>
      <c r="Z17">
        <v>9000</v>
      </c>
      <c r="AA17">
        <v>11000</v>
      </c>
      <c r="AB17">
        <v>9000</v>
      </c>
      <c r="AC17">
        <v>7000</v>
      </c>
      <c r="AD17">
        <v>2500</v>
      </c>
      <c r="AE17">
        <v>3500</v>
      </c>
      <c r="AF17">
        <v>4924</v>
      </c>
      <c r="AG17">
        <v>7000</v>
      </c>
      <c r="AH17">
        <v>2600</v>
      </c>
      <c r="AI17">
        <v>12000</v>
      </c>
      <c r="AJ17">
        <v>2000</v>
      </c>
      <c r="AK17">
        <v>15000</v>
      </c>
      <c r="AL17">
        <v>4000</v>
      </c>
      <c r="AM17">
        <v>8298</v>
      </c>
      <c r="AN17">
        <v>4000</v>
      </c>
      <c r="AO17">
        <v>6000</v>
      </c>
      <c r="AP17">
        <v>12858</v>
      </c>
      <c r="AQ17">
        <v>26276</v>
      </c>
      <c r="AR17">
        <v>10013</v>
      </c>
      <c r="AS17">
        <v>13799</v>
      </c>
      <c r="AT17">
        <v>9000</v>
      </c>
      <c r="AU17">
        <v>18000</v>
      </c>
      <c r="AV17">
        <v>13645</v>
      </c>
      <c r="AW17">
        <v>18000</v>
      </c>
      <c r="AX17">
        <v>15000</v>
      </c>
      <c r="AY17">
        <v>21000</v>
      </c>
      <c r="AZ17" s="46">
        <v>3933.3465477104578</v>
      </c>
    </row>
    <row r="18" spans="1:52" x14ac:dyDescent="0.25">
      <c r="A18" t="s">
        <v>171</v>
      </c>
      <c r="B18" s="44" t="s">
        <v>247</v>
      </c>
      <c r="C18" s="44" t="s">
        <v>178</v>
      </c>
      <c r="D18">
        <v>7000</v>
      </c>
      <c r="E18">
        <v>23000</v>
      </c>
      <c r="F18">
        <v>9200</v>
      </c>
      <c r="G18">
        <v>75000</v>
      </c>
      <c r="H18">
        <v>32000</v>
      </c>
      <c r="I18">
        <v>27000</v>
      </c>
      <c r="J18">
        <v>11000</v>
      </c>
      <c r="K18">
        <v>7373</v>
      </c>
      <c r="L18">
        <v>35000</v>
      </c>
      <c r="M18">
        <v>30000</v>
      </c>
      <c r="N18">
        <v>15000</v>
      </c>
      <c r="O18">
        <v>8000</v>
      </c>
      <c r="P18">
        <v>37000</v>
      </c>
      <c r="Q18">
        <v>3000</v>
      </c>
      <c r="R18">
        <v>11000</v>
      </c>
      <c r="S18">
        <v>5000</v>
      </c>
      <c r="T18">
        <v>25000</v>
      </c>
      <c r="U18">
        <v>4000</v>
      </c>
      <c r="V18">
        <v>45000</v>
      </c>
      <c r="W18">
        <v>25000</v>
      </c>
      <c r="X18">
        <v>24000</v>
      </c>
      <c r="Y18">
        <v>25000</v>
      </c>
      <c r="Z18">
        <v>40000</v>
      </c>
      <c r="AA18">
        <v>23000</v>
      </c>
      <c r="AB18">
        <v>43000</v>
      </c>
      <c r="AC18">
        <v>35000</v>
      </c>
      <c r="AD18">
        <v>18000</v>
      </c>
      <c r="AE18">
        <v>17000</v>
      </c>
      <c r="AF18">
        <v>12000</v>
      </c>
      <c r="AG18">
        <v>18000</v>
      </c>
      <c r="AH18">
        <v>21000</v>
      </c>
      <c r="AI18">
        <v>25000</v>
      </c>
      <c r="AJ18">
        <v>37000</v>
      </c>
      <c r="AK18">
        <v>20000</v>
      </c>
      <c r="AL18">
        <v>17000</v>
      </c>
      <c r="AM18">
        <v>3000</v>
      </c>
      <c r="AN18">
        <v>16000</v>
      </c>
      <c r="AO18">
        <v>6000</v>
      </c>
      <c r="AP18">
        <v>16000</v>
      </c>
      <c r="AQ18">
        <v>33000</v>
      </c>
      <c r="AR18">
        <v>37000</v>
      </c>
      <c r="AS18">
        <v>49000</v>
      </c>
      <c r="AT18">
        <v>13000</v>
      </c>
      <c r="AU18">
        <v>80000</v>
      </c>
      <c r="AV18">
        <v>15000</v>
      </c>
      <c r="AW18">
        <v>30000</v>
      </c>
      <c r="AX18">
        <v>11000</v>
      </c>
      <c r="AY18">
        <v>46000</v>
      </c>
      <c r="AZ18">
        <v>4000</v>
      </c>
    </row>
    <row r="19" spans="1:52" x14ac:dyDescent="0.25">
      <c r="A19" t="s">
        <v>171</v>
      </c>
      <c r="B19" s="44" t="s">
        <v>248</v>
      </c>
      <c r="C19" s="44" t="s">
        <v>179</v>
      </c>
      <c r="D19">
        <v>4745</v>
      </c>
      <c r="E19">
        <v>9372</v>
      </c>
      <c r="F19">
        <v>6582</v>
      </c>
      <c r="G19">
        <v>13310</v>
      </c>
      <c r="H19">
        <v>7721</v>
      </c>
      <c r="I19">
        <v>8023</v>
      </c>
      <c r="J19">
        <v>10590</v>
      </c>
      <c r="K19">
        <v>4324</v>
      </c>
      <c r="L19">
        <v>11553</v>
      </c>
      <c r="M19">
        <v>6495</v>
      </c>
      <c r="N19">
        <v>9366</v>
      </c>
      <c r="O19">
        <v>10278</v>
      </c>
      <c r="P19">
        <v>10006</v>
      </c>
      <c r="Q19">
        <v>6483</v>
      </c>
      <c r="R19">
        <v>5860</v>
      </c>
      <c r="S19">
        <v>2709</v>
      </c>
      <c r="T19">
        <v>3231</v>
      </c>
      <c r="U19">
        <v>7442</v>
      </c>
      <c r="V19">
        <v>8556</v>
      </c>
      <c r="W19">
        <v>11915</v>
      </c>
      <c r="X19">
        <v>7423</v>
      </c>
      <c r="Y19">
        <v>7000</v>
      </c>
      <c r="Z19">
        <v>3000</v>
      </c>
      <c r="AA19">
        <v>9671</v>
      </c>
      <c r="AB19">
        <v>19000</v>
      </c>
      <c r="AC19">
        <v>19815</v>
      </c>
      <c r="AD19">
        <v>1500</v>
      </c>
      <c r="AE19">
        <v>14000</v>
      </c>
      <c r="AF19">
        <v>6000</v>
      </c>
      <c r="AG19">
        <v>3000</v>
      </c>
      <c r="AH19">
        <v>10000</v>
      </c>
      <c r="AI19">
        <v>16743</v>
      </c>
      <c r="AJ19">
        <v>17677</v>
      </c>
      <c r="AK19">
        <v>17105</v>
      </c>
      <c r="AL19">
        <v>14000</v>
      </c>
      <c r="AM19">
        <v>14442</v>
      </c>
      <c r="AN19">
        <v>16000</v>
      </c>
      <c r="AO19">
        <v>13000</v>
      </c>
      <c r="AP19">
        <v>9000</v>
      </c>
      <c r="AQ19">
        <v>16000</v>
      </c>
      <c r="AR19">
        <v>17426</v>
      </c>
      <c r="AS19">
        <v>24015</v>
      </c>
      <c r="AT19">
        <v>24931</v>
      </c>
      <c r="AU19">
        <v>98000</v>
      </c>
      <c r="AV19">
        <v>36600</v>
      </c>
      <c r="AW19">
        <v>30000</v>
      </c>
      <c r="AX19">
        <v>17000</v>
      </c>
      <c r="AY19">
        <v>42000</v>
      </c>
      <c r="AZ19">
        <v>6400</v>
      </c>
    </row>
    <row r="20" spans="1:52" x14ac:dyDescent="0.25">
      <c r="A20" t="s">
        <v>171</v>
      </c>
      <c r="B20" s="44" t="s">
        <v>114</v>
      </c>
      <c r="C20" s="44" t="s">
        <v>180</v>
      </c>
      <c r="D20">
        <v>2900</v>
      </c>
      <c r="E20">
        <v>5729</v>
      </c>
      <c r="F20">
        <v>4023</v>
      </c>
      <c r="G20">
        <v>8136</v>
      </c>
      <c r="H20">
        <v>4719</v>
      </c>
      <c r="I20">
        <v>4904</v>
      </c>
      <c r="J20">
        <v>6473</v>
      </c>
      <c r="K20">
        <v>2643</v>
      </c>
      <c r="L20">
        <v>7062</v>
      </c>
      <c r="M20">
        <v>3970</v>
      </c>
      <c r="N20">
        <v>5725</v>
      </c>
      <c r="O20">
        <v>6283</v>
      </c>
      <c r="P20">
        <v>6116</v>
      </c>
      <c r="Q20">
        <v>3963</v>
      </c>
      <c r="R20">
        <v>3582</v>
      </c>
      <c r="S20">
        <v>1656</v>
      </c>
      <c r="T20">
        <v>1975</v>
      </c>
      <c r="U20">
        <v>4549</v>
      </c>
      <c r="V20">
        <v>5230</v>
      </c>
      <c r="W20">
        <v>500</v>
      </c>
      <c r="X20">
        <v>4538</v>
      </c>
      <c r="Y20">
        <v>4954</v>
      </c>
      <c r="Z20">
        <v>1000</v>
      </c>
      <c r="AA20">
        <v>5912</v>
      </c>
      <c r="AB20">
        <v>6082</v>
      </c>
      <c r="AC20">
        <v>12112</v>
      </c>
      <c r="AD20">
        <v>5026</v>
      </c>
      <c r="AE20">
        <v>7772</v>
      </c>
      <c r="AF20">
        <v>1000</v>
      </c>
      <c r="AG20">
        <v>8210</v>
      </c>
      <c r="AH20">
        <v>26000</v>
      </c>
      <c r="AI20">
        <v>10234</v>
      </c>
      <c r="AJ20">
        <v>10805</v>
      </c>
      <c r="AK20">
        <v>10455</v>
      </c>
      <c r="AL20">
        <v>17950</v>
      </c>
      <c r="AM20">
        <v>8828</v>
      </c>
      <c r="AN20">
        <v>7500</v>
      </c>
      <c r="AO20">
        <v>16447</v>
      </c>
      <c r="AP20">
        <v>13678</v>
      </c>
      <c r="AQ20">
        <v>13000</v>
      </c>
      <c r="AR20">
        <v>10652</v>
      </c>
      <c r="AS20">
        <v>12000</v>
      </c>
      <c r="AT20">
        <v>15240</v>
      </c>
      <c r="AU20">
        <v>29000</v>
      </c>
      <c r="AV20">
        <v>20900</v>
      </c>
      <c r="AW20">
        <v>12000</v>
      </c>
      <c r="AX20">
        <v>10000</v>
      </c>
      <c r="AY20">
        <v>26000</v>
      </c>
      <c r="AZ20">
        <v>2000</v>
      </c>
    </row>
    <row r="21" spans="1:52" x14ac:dyDescent="0.25">
      <c r="A21" t="s">
        <v>171</v>
      </c>
      <c r="B21" s="44" t="s">
        <v>249</v>
      </c>
      <c r="C21" s="44" t="s">
        <v>181</v>
      </c>
      <c r="D21">
        <v>500</v>
      </c>
      <c r="E21">
        <v>4628</v>
      </c>
      <c r="F21">
        <v>1000</v>
      </c>
      <c r="G21">
        <v>7000</v>
      </c>
      <c r="H21">
        <v>1000</v>
      </c>
      <c r="I21">
        <v>3962</v>
      </c>
      <c r="J21">
        <v>5000</v>
      </c>
      <c r="K21">
        <v>2135</v>
      </c>
      <c r="L21">
        <v>5705</v>
      </c>
      <c r="M21">
        <v>500</v>
      </c>
      <c r="N21">
        <v>2000</v>
      </c>
      <c r="O21">
        <v>5076</v>
      </c>
      <c r="P21">
        <v>1500</v>
      </c>
      <c r="Q21">
        <v>700</v>
      </c>
      <c r="R21">
        <v>2500</v>
      </c>
      <c r="S21">
        <v>1338</v>
      </c>
      <c r="T21">
        <v>1500</v>
      </c>
      <c r="U21">
        <v>3675</v>
      </c>
      <c r="V21">
        <v>4226</v>
      </c>
      <c r="W21">
        <v>10000</v>
      </c>
      <c r="X21">
        <v>2800</v>
      </c>
      <c r="Y21">
        <v>8000</v>
      </c>
      <c r="Z21">
        <v>10000</v>
      </c>
      <c r="AA21">
        <v>10000</v>
      </c>
      <c r="AB21">
        <v>15000</v>
      </c>
      <c r="AC21">
        <v>17000</v>
      </c>
      <c r="AD21">
        <v>2000</v>
      </c>
      <c r="AE21">
        <v>8000</v>
      </c>
      <c r="AF21">
        <v>8000</v>
      </c>
      <c r="AG21">
        <v>4000</v>
      </c>
      <c r="AH21">
        <v>10000</v>
      </c>
      <c r="AI21">
        <v>10000</v>
      </c>
      <c r="AJ21">
        <v>3000</v>
      </c>
      <c r="AK21">
        <v>8447</v>
      </c>
      <c r="AL21">
        <v>14000</v>
      </c>
      <c r="AM21">
        <v>4500</v>
      </c>
      <c r="AN21">
        <v>10556</v>
      </c>
      <c r="AO21">
        <v>12000</v>
      </c>
      <c r="AP21">
        <v>21000</v>
      </c>
      <c r="AQ21">
        <v>13000</v>
      </c>
      <c r="AR21">
        <v>10000</v>
      </c>
      <c r="AS21">
        <v>6500</v>
      </c>
      <c r="AT21">
        <v>13000</v>
      </c>
      <c r="AU21">
        <v>14000</v>
      </c>
      <c r="AV21">
        <v>8000</v>
      </c>
      <c r="AW21">
        <v>24000</v>
      </c>
      <c r="AX21">
        <v>4000</v>
      </c>
      <c r="AY21">
        <v>2500</v>
      </c>
      <c r="AZ21">
        <v>800</v>
      </c>
    </row>
    <row r="22" spans="1:52" x14ac:dyDescent="0.25">
      <c r="A22" t="s">
        <v>171</v>
      </c>
      <c r="B22" s="44" t="s">
        <v>146</v>
      </c>
      <c r="C22" s="44" t="s">
        <v>182</v>
      </c>
      <c r="D22">
        <v>2600</v>
      </c>
      <c r="E22">
        <v>10771</v>
      </c>
      <c r="F22">
        <v>1500</v>
      </c>
      <c r="G22">
        <v>6000</v>
      </c>
      <c r="H22">
        <v>3500</v>
      </c>
      <c r="I22">
        <v>6000</v>
      </c>
      <c r="J22">
        <v>7000</v>
      </c>
      <c r="K22">
        <v>4969</v>
      </c>
      <c r="L22">
        <v>13278</v>
      </c>
      <c r="M22">
        <v>5000</v>
      </c>
      <c r="N22">
        <v>15000</v>
      </c>
      <c r="O22">
        <v>7000</v>
      </c>
      <c r="P22">
        <v>11000</v>
      </c>
      <c r="Q22">
        <v>3000</v>
      </c>
      <c r="R22">
        <v>12000</v>
      </c>
      <c r="S22">
        <v>3113</v>
      </c>
      <c r="T22">
        <v>5000</v>
      </c>
      <c r="U22">
        <v>10000</v>
      </c>
      <c r="V22">
        <v>22000</v>
      </c>
      <c r="W22">
        <v>25000</v>
      </c>
      <c r="X22">
        <v>3700</v>
      </c>
      <c r="Y22">
        <v>9000</v>
      </c>
      <c r="Z22">
        <v>23000</v>
      </c>
      <c r="AA22">
        <v>10000</v>
      </c>
      <c r="AB22">
        <v>20000</v>
      </c>
      <c r="AC22">
        <v>21000</v>
      </c>
      <c r="AD22">
        <v>12000</v>
      </c>
      <c r="AE22">
        <v>9000</v>
      </c>
      <c r="AF22">
        <v>12000</v>
      </c>
      <c r="AG22">
        <v>15438</v>
      </c>
      <c r="AH22">
        <v>20000</v>
      </c>
      <c r="AI22">
        <v>15000</v>
      </c>
      <c r="AJ22">
        <v>20000</v>
      </c>
      <c r="AK22">
        <v>27000</v>
      </c>
      <c r="AL22">
        <v>45000</v>
      </c>
      <c r="AM22">
        <v>4000</v>
      </c>
      <c r="AN22">
        <v>12000</v>
      </c>
      <c r="AO22">
        <v>12000</v>
      </c>
      <c r="AP22">
        <v>23000</v>
      </c>
      <c r="AQ22">
        <v>15000</v>
      </c>
      <c r="AR22">
        <v>25000</v>
      </c>
      <c r="AS22">
        <v>15000</v>
      </c>
      <c r="AT22">
        <v>13000</v>
      </c>
      <c r="AU22">
        <v>48000</v>
      </c>
      <c r="AV22">
        <v>36000</v>
      </c>
      <c r="AW22">
        <v>50000</v>
      </c>
      <c r="AX22">
        <v>41000</v>
      </c>
      <c r="AY22">
        <v>55000</v>
      </c>
      <c r="AZ22">
        <v>6000</v>
      </c>
    </row>
    <row r="23" spans="1:52" x14ac:dyDescent="0.25">
      <c r="A23" t="s">
        <v>171</v>
      </c>
      <c r="B23" s="44" t="s">
        <v>111</v>
      </c>
      <c r="C23" s="44" t="s">
        <v>183</v>
      </c>
      <c r="D23">
        <v>3600</v>
      </c>
      <c r="E23">
        <v>9800</v>
      </c>
      <c r="F23">
        <v>7300</v>
      </c>
      <c r="G23">
        <v>18000</v>
      </c>
      <c r="H23">
        <v>12000</v>
      </c>
      <c r="I23">
        <v>14000</v>
      </c>
      <c r="J23">
        <v>14000</v>
      </c>
      <c r="K23">
        <v>4907</v>
      </c>
      <c r="L23">
        <v>11000</v>
      </c>
      <c r="M23">
        <v>8000</v>
      </c>
      <c r="N23">
        <v>20000</v>
      </c>
      <c r="O23">
        <v>6000</v>
      </c>
      <c r="P23">
        <v>25000</v>
      </c>
      <c r="Q23">
        <v>4000</v>
      </c>
      <c r="R23">
        <v>18000</v>
      </c>
      <c r="S23">
        <v>2000</v>
      </c>
      <c r="T23">
        <v>10000</v>
      </c>
      <c r="U23">
        <v>8446</v>
      </c>
      <c r="V23">
        <v>20000</v>
      </c>
      <c r="W23">
        <v>14000</v>
      </c>
      <c r="X23">
        <v>11400</v>
      </c>
      <c r="Y23">
        <v>5000</v>
      </c>
      <c r="Z23">
        <v>11000</v>
      </c>
      <c r="AA23">
        <v>30000</v>
      </c>
      <c r="AB23">
        <v>30000</v>
      </c>
      <c r="AC23">
        <v>33000</v>
      </c>
      <c r="AD23">
        <v>21000</v>
      </c>
      <c r="AE23">
        <v>14000</v>
      </c>
      <c r="AF23">
        <v>13000</v>
      </c>
      <c r="AG23">
        <v>4000</v>
      </c>
      <c r="AH23">
        <v>28000</v>
      </c>
      <c r="AI23">
        <v>25000</v>
      </c>
      <c r="AJ23">
        <v>37000</v>
      </c>
      <c r="AK23">
        <v>21000</v>
      </c>
      <c r="AL23">
        <v>28000</v>
      </c>
      <c r="AM23">
        <v>3500</v>
      </c>
      <c r="AN23">
        <v>17000</v>
      </c>
      <c r="AO23">
        <v>8000</v>
      </c>
      <c r="AP23">
        <v>24000</v>
      </c>
      <c r="AQ23">
        <v>13000</v>
      </c>
      <c r="AR23">
        <v>14000</v>
      </c>
      <c r="AS23">
        <v>8000</v>
      </c>
      <c r="AT23">
        <v>23000</v>
      </c>
      <c r="AU23">
        <v>19000</v>
      </c>
      <c r="AV23">
        <v>24100</v>
      </c>
      <c r="AW23">
        <v>38000</v>
      </c>
      <c r="AX23">
        <v>22000</v>
      </c>
      <c r="AY23">
        <v>20000</v>
      </c>
      <c r="AZ23">
        <v>7500</v>
      </c>
    </row>
    <row r="24" spans="1:52" x14ac:dyDescent="0.25">
      <c r="A24" t="s">
        <v>171</v>
      </c>
      <c r="B24" s="44" t="s">
        <v>250</v>
      </c>
      <c r="C24" s="44" t="s">
        <v>184</v>
      </c>
      <c r="D24">
        <v>2086</v>
      </c>
      <c r="E24">
        <v>4121</v>
      </c>
      <c r="F24">
        <v>2894</v>
      </c>
      <c r="G24">
        <v>500</v>
      </c>
      <c r="H24">
        <v>3395</v>
      </c>
      <c r="I24">
        <v>3528</v>
      </c>
      <c r="J24">
        <v>4657</v>
      </c>
      <c r="K24">
        <v>1901</v>
      </c>
      <c r="L24">
        <v>5080</v>
      </c>
      <c r="M24">
        <v>2856</v>
      </c>
      <c r="N24">
        <v>4118</v>
      </c>
      <c r="O24">
        <v>4520</v>
      </c>
      <c r="P24">
        <v>4400</v>
      </c>
      <c r="Q24">
        <v>500</v>
      </c>
      <c r="R24">
        <v>300</v>
      </c>
      <c r="S24">
        <v>1191</v>
      </c>
      <c r="T24">
        <v>500</v>
      </c>
      <c r="U24">
        <v>1000</v>
      </c>
      <c r="V24">
        <v>1500</v>
      </c>
      <c r="W24">
        <v>1500</v>
      </c>
      <c r="X24">
        <v>3264</v>
      </c>
      <c r="Y24">
        <v>200</v>
      </c>
      <c r="Z24">
        <v>2500</v>
      </c>
      <c r="AA24">
        <v>4400</v>
      </c>
      <c r="AB24">
        <v>10000</v>
      </c>
      <c r="AC24">
        <v>3000</v>
      </c>
      <c r="AD24">
        <v>300</v>
      </c>
      <c r="AE24">
        <v>8000</v>
      </c>
      <c r="AF24">
        <v>3000</v>
      </c>
      <c r="AG24">
        <v>5906</v>
      </c>
      <c r="AH24">
        <v>5000</v>
      </c>
      <c r="AI24">
        <v>3000</v>
      </c>
      <c r="AJ24">
        <v>2500</v>
      </c>
      <c r="AK24">
        <v>7521</v>
      </c>
      <c r="AL24">
        <v>11000</v>
      </c>
      <c r="AM24">
        <v>6350</v>
      </c>
      <c r="AN24">
        <v>1000</v>
      </c>
      <c r="AO24">
        <v>11832</v>
      </c>
      <c r="AP24">
        <v>9839</v>
      </c>
      <c r="AQ24">
        <v>20108</v>
      </c>
      <c r="AR24">
        <v>4500</v>
      </c>
      <c r="AS24">
        <v>10560</v>
      </c>
      <c r="AT24">
        <v>10963</v>
      </c>
      <c r="AU24">
        <v>18000</v>
      </c>
      <c r="AV24">
        <v>30000</v>
      </c>
      <c r="AW24">
        <v>23000</v>
      </c>
      <c r="AX24">
        <v>17000</v>
      </c>
      <c r="AY24">
        <v>17000</v>
      </c>
      <c r="AZ24">
        <v>6500</v>
      </c>
    </row>
    <row r="25" spans="1:52" x14ac:dyDescent="0.25">
      <c r="A25" t="s">
        <v>171</v>
      </c>
      <c r="B25" s="44" t="s">
        <v>240</v>
      </c>
      <c r="C25" s="44" t="s">
        <v>185</v>
      </c>
      <c r="D25">
        <v>2000</v>
      </c>
      <c r="E25">
        <v>1000</v>
      </c>
      <c r="F25">
        <v>3000</v>
      </c>
      <c r="G25">
        <v>50000</v>
      </c>
      <c r="H25">
        <v>12000</v>
      </c>
      <c r="I25">
        <v>18000</v>
      </c>
      <c r="J25">
        <v>10000</v>
      </c>
      <c r="K25">
        <v>10144</v>
      </c>
      <c r="L25">
        <v>17000</v>
      </c>
      <c r="M25">
        <v>8000</v>
      </c>
      <c r="N25">
        <v>15000</v>
      </c>
      <c r="O25">
        <v>8000</v>
      </c>
      <c r="P25">
        <v>28000</v>
      </c>
      <c r="Q25">
        <v>3600</v>
      </c>
      <c r="R25">
        <v>14000</v>
      </c>
      <c r="S25">
        <v>6355</v>
      </c>
      <c r="T25">
        <v>11000</v>
      </c>
      <c r="U25">
        <v>13000</v>
      </c>
      <c r="V25">
        <v>41000</v>
      </c>
      <c r="W25">
        <v>12000</v>
      </c>
      <c r="X25">
        <v>18000</v>
      </c>
      <c r="Y25">
        <v>13000</v>
      </c>
      <c r="Z25">
        <v>38000</v>
      </c>
      <c r="AA25">
        <v>51000</v>
      </c>
      <c r="AB25">
        <v>40000</v>
      </c>
      <c r="AC25">
        <v>40000</v>
      </c>
      <c r="AD25">
        <v>30500</v>
      </c>
      <c r="AE25">
        <v>46000</v>
      </c>
      <c r="AF25">
        <v>35000</v>
      </c>
      <c r="AG25">
        <v>26000</v>
      </c>
      <c r="AH25">
        <v>29000</v>
      </c>
      <c r="AI25">
        <v>40000</v>
      </c>
      <c r="AJ25">
        <v>55000</v>
      </c>
      <c r="AK25">
        <v>46000</v>
      </c>
      <c r="AL25">
        <v>63000</v>
      </c>
      <c r="AM25">
        <v>15000</v>
      </c>
      <c r="AN25">
        <v>48000</v>
      </c>
      <c r="AO25">
        <v>15000</v>
      </c>
      <c r="AP25">
        <v>50000</v>
      </c>
      <c r="AQ25">
        <v>31600</v>
      </c>
      <c r="AR25">
        <v>38000</v>
      </c>
      <c r="AS25">
        <v>74000</v>
      </c>
      <c r="AT25">
        <v>62000</v>
      </c>
      <c r="AU25">
        <v>123000</v>
      </c>
      <c r="AV25">
        <v>78000</v>
      </c>
      <c r="AW25">
        <v>37000</v>
      </c>
      <c r="AX25">
        <v>45000</v>
      </c>
      <c r="AY25">
        <v>132000</v>
      </c>
      <c r="AZ25">
        <v>8000</v>
      </c>
    </row>
    <row r="26" spans="1:52" x14ac:dyDescent="0.25">
      <c r="A26" t="s">
        <v>171</v>
      </c>
      <c r="B26" s="44" t="s">
        <v>118</v>
      </c>
      <c r="C26" s="44" t="s">
        <v>186</v>
      </c>
      <c r="D26">
        <v>1300</v>
      </c>
      <c r="E26">
        <v>3574</v>
      </c>
      <c r="F26">
        <v>1000</v>
      </c>
      <c r="G26">
        <v>5000</v>
      </c>
      <c r="H26">
        <v>2000</v>
      </c>
      <c r="I26">
        <v>1000</v>
      </c>
      <c r="J26">
        <v>2500</v>
      </c>
      <c r="K26">
        <v>1649</v>
      </c>
      <c r="L26">
        <v>4405</v>
      </c>
      <c r="M26">
        <v>500</v>
      </c>
      <c r="N26">
        <v>3571</v>
      </c>
      <c r="O26">
        <v>300</v>
      </c>
      <c r="P26">
        <v>1500</v>
      </c>
      <c r="Q26">
        <v>200</v>
      </c>
      <c r="R26">
        <v>2235</v>
      </c>
      <c r="S26">
        <v>500</v>
      </c>
      <c r="T26">
        <v>500</v>
      </c>
      <c r="U26">
        <v>2838</v>
      </c>
      <c r="V26">
        <v>2500</v>
      </c>
      <c r="W26">
        <v>3000</v>
      </c>
      <c r="X26">
        <v>500</v>
      </c>
      <c r="Y26">
        <v>1000</v>
      </c>
      <c r="Z26">
        <v>4304</v>
      </c>
      <c r="AA26">
        <v>6000</v>
      </c>
      <c r="AB26">
        <v>3794</v>
      </c>
      <c r="AC26">
        <v>7556</v>
      </c>
      <c r="AD26">
        <v>1000</v>
      </c>
      <c r="AE26">
        <v>6500</v>
      </c>
      <c r="AF26">
        <v>3000</v>
      </c>
      <c r="AG26">
        <v>5122</v>
      </c>
      <c r="AH26">
        <v>4000</v>
      </c>
      <c r="AI26">
        <v>7000</v>
      </c>
      <c r="AJ26">
        <v>10000</v>
      </c>
      <c r="AK26">
        <v>6522</v>
      </c>
      <c r="AL26">
        <v>9000</v>
      </c>
      <c r="AM26">
        <v>1000</v>
      </c>
      <c r="AN26">
        <v>2500</v>
      </c>
      <c r="AO26">
        <v>2000</v>
      </c>
      <c r="AP26">
        <v>8532</v>
      </c>
      <c r="AQ26">
        <v>16000</v>
      </c>
      <c r="AR26">
        <v>23000</v>
      </c>
      <c r="AS26">
        <v>6000</v>
      </c>
      <c r="AT26">
        <v>9000</v>
      </c>
      <c r="AU26">
        <v>9000</v>
      </c>
      <c r="AV26">
        <v>24000</v>
      </c>
      <c r="AW26">
        <v>10000</v>
      </c>
      <c r="AX26">
        <v>26000</v>
      </c>
      <c r="AY26">
        <v>8000</v>
      </c>
      <c r="AZ26">
        <v>3500</v>
      </c>
    </row>
    <row r="27" spans="1:52" x14ac:dyDescent="0.25">
      <c r="A27" t="s">
        <v>171</v>
      </c>
      <c r="B27" s="44" t="s">
        <v>119</v>
      </c>
      <c r="C27" s="44" t="s">
        <v>187</v>
      </c>
      <c r="D27">
        <v>3851</v>
      </c>
      <c r="E27">
        <v>7606</v>
      </c>
      <c r="F27">
        <v>2500</v>
      </c>
      <c r="G27">
        <v>12300</v>
      </c>
      <c r="H27">
        <v>4000</v>
      </c>
      <c r="I27">
        <v>11500</v>
      </c>
      <c r="J27">
        <v>4000</v>
      </c>
      <c r="K27">
        <v>3509</v>
      </c>
      <c r="L27">
        <v>1000</v>
      </c>
      <c r="M27">
        <v>500</v>
      </c>
      <c r="N27">
        <v>3000</v>
      </c>
      <c r="O27">
        <v>1500</v>
      </c>
      <c r="P27">
        <v>3000</v>
      </c>
      <c r="Q27">
        <v>200</v>
      </c>
      <c r="R27">
        <v>4756</v>
      </c>
      <c r="S27">
        <v>500</v>
      </c>
      <c r="T27">
        <v>1500</v>
      </c>
      <c r="U27">
        <v>12500</v>
      </c>
      <c r="V27">
        <v>2000</v>
      </c>
      <c r="W27">
        <v>5200</v>
      </c>
      <c r="X27">
        <v>600</v>
      </c>
      <c r="Y27">
        <v>5000</v>
      </c>
      <c r="Z27">
        <v>6000</v>
      </c>
      <c r="AA27">
        <v>20200</v>
      </c>
      <c r="AB27">
        <v>4000</v>
      </c>
      <c r="AC27">
        <v>15000</v>
      </c>
      <c r="AD27">
        <v>3000</v>
      </c>
      <c r="AE27">
        <v>15000</v>
      </c>
      <c r="AF27">
        <v>6000</v>
      </c>
      <c r="AG27">
        <v>4000</v>
      </c>
      <c r="AH27">
        <v>7000</v>
      </c>
      <c r="AI27">
        <v>12000</v>
      </c>
      <c r="AJ27">
        <v>15000</v>
      </c>
      <c r="AK27">
        <v>33000</v>
      </c>
      <c r="AL27">
        <v>35000</v>
      </c>
      <c r="AM27">
        <v>5500</v>
      </c>
      <c r="AN27">
        <v>11000</v>
      </c>
      <c r="AO27">
        <v>19000</v>
      </c>
      <c r="AP27">
        <v>19000</v>
      </c>
      <c r="AQ27">
        <v>27000</v>
      </c>
      <c r="AR27">
        <v>28000</v>
      </c>
      <c r="AS27">
        <v>10000</v>
      </c>
      <c r="AT27">
        <v>11000</v>
      </c>
      <c r="AU27">
        <v>53000</v>
      </c>
      <c r="AV27">
        <v>29000</v>
      </c>
      <c r="AW27">
        <v>24000</v>
      </c>
      <c r="AX27">
        <v>18000</v>
      </c>
      <c r="AY27">
        <v>34000</v>
      </c>
      <c r="AZ27">
        <v>2000</v>
      </c>
    </row>
    <row r="28" spans="1:52" x14ac:dyDescent="0.25">
      <c r="A28" t="s">
        <v>171</v>
      </c>
      <c r="B28" s="44" t="s">
        <v>252</v>
      </c>
      <c r="C28" s="44" t="s">
        <v>188</v>
      </c>
      <c r="D28">
        <v>100</v>
      </c>
      <c r="E28">
        <v>13052</v>
      </c>
      <c r="F28">
        <v>500</v>
      </c>
      <c r="G28">
        <v>17000</v>
      </c>
      <c r="H28">
        <v>2000</v>
      </c>
      <c r="I28">
        <v>12000</v>
      </c>
      <c r="J28">
        <v>10000</v>
      </c>
      <c r="K28">
        <v>6022</v>
      </c>
      <c r="L28">
        <v>7000</v>
      </c>
      <c r="M28">
        <v>1000</v>
      </c>
      <c r="N28">
        <v>5000</v>
      </c>
      <c r="O28">
        <v>1500</v>
      </c>
      <c r="P28">
        <v>15000</v>
      </c>
      <c r="Q28">
        <v>500</v>
      </c>
      <c r="R28">
        <v>2000</v>
      </c>
      <c r="S28">
        <v>100</v>
      </c>
      <c r="T28">
        <v>5000</v>
      </c>
      <c r="U28">
        <v>1500</v>
      </c>
      <c r="V28">
        <v>10000</v>
      </c>
      <c r="W28">
        <v>13000</v>
      </c>
      <c r="X28">
        <v>8100</v>
      </c>
      <c r="Y28">
        <v>13000</v>
      </c>
      <c r="Z28">
        <v>8700</v>
      </c>
      <c r="AA28">
        <v>36000</v>
      </c>
      <c r="AB28">
        <v>40000</v>
      </c>
      <c r="AC28">
        <v>37000</v>
      </c>
      <c r="AD28">
        <v>11000</v>
      </c>
      <c r="AE28">
        <v>40000</v>
      </c>
      <c r="AF28">
        <v>15000</v>
      </c>
      <c r="AG28">
        <v>27000</v>
      </c>
      <c r="AH28">
        <v>21000</v>
      </c>
      <c r="AI28">
        <v>36000</v>
      </c>
      <c r="AJ28">
        <v>39000</v>
      </c>
      <c r="AK28">
        <v>50000</v>
      </c>
      <c r="AL28">
        <v>75000</v>
      </c>
      <c r="AM28">
        <v>14000</v>
      </c>
      <c r="AN28">
        <v>28000</v>
      </c>
      <c r="AO28">
        <v>16000</v>
      </c>
      <c r="AP28">
        <v>23000</v>
      </c>
      <c r="AQ28">
        <v>50000</v>
      </c>
      <c r="AR28">
        <v>59000</v>
      </c>
      <c r="AS28">
        <v>26000</v>
      </c>
      <c r="AT28">
        <v>24000</v>
      </c>
      <c r="AU28">
        <v>45000</v>
      </c>
      <c r="AV28">
        <v>30000</v>
      </c>
      <c r="AW28">
        <v>19000</v>
      </c>
      <c r="AX28">
        <v>13000</v>
      </c>
      <c r="AY28">
        <v>25000</v>
      </c>
      <c r="AZ28">
        <v>7000</v>
      </c>
    </row>
    <row r="29" spans="1:52" x14ac:dyDescent="0.25">
      <c r="A29" t="s">
        <v>171</v>
      </c>
      <c r="B29" s="44" t="s">
        <v>253</v>
      </c>
      <c r="C29" s="44" t="s">
        <v>189</v>
      </c>
      <c r="D29">
        <v>13751</v>
      </c>
      <c r="E29">
        <v>27161</v>
      </c>
      <c r="F29">
        <v>2200</v>
      </c>
      <c r="G29">
        <v>15000</v>
      </c>
      <c r="H29">
        <v>12000</v>
      </c>
      <c r="I29">
        <v>13000</v>
      </c>
      <c r="J29">
        <v>30000</v>
      </c>
      <c r="K29">
        <v>12531</v>
      </c>
      <c r="L29">
        <v>20000</v>
      </c>
      <c r="M29">
        <v>2000</v>
      </c>
      <c r="N29">
        <v>9000</v>
      </c>
      <c r="O29">
        <v>2000</v>
      </c>
      <c r="P29">
        <v>20500</v>
      </c>
      <c r="Q29">
        <v>1500</v>
      </c>
      <c r="R29">
        <v>15000</v>
      </c>
      <c r="S29">
        <v>1000</v>
      </c>
      <c r="T29">
        <v>5000</v>
      </c>
      <c r="U29">
        <v>2000</v>
      </c>
      <c r="V29">
        <v>37000</v>
      </c>
      <c r="W29">
        <v>17000</v>
      </c>
      <c r="X29">
        <v>21514</v>
      </c>
      <c r="Y29">
        <v>22000</v>
      </c>
      <c r="Z29">
        <v>17000</v>
      </c>
      <c r="AA29">
        <v>48000</v>
      </c>
      <c r="AB29">
        <v>60000</v>
      </c>
      <c r="AC29">
        <v>60000</v>
      </c>
      <c r="AD29">
        <v>44000</v>
      </c>
      <c r="AE29">
        <v>36000</v>
      </c>
      <c r="AF29">
        <v>40000</v>
      </c>
      <c r="AG29">
        <v>35000</v>
      </c>
      <c r="AH29">
        <v>46000</v>
      </c>
      <c r="AI29">
        <v>58000</v>
      </c>
      <c r="AJ29">
        <v>51000</v>
      </c>
      <c r="AK29">
        <v>96000</v>
      </c>
      <c r="AL29">
        <v>110000</v>
      </c>
      <c r="AM29">
        <v>17000</v>
      </c>
      <c r="AN29">
        <v>49000</v>
      </c>
      <c r="AO29">
        <v>45000</v>
      </c>
      <c r="AP29">
        <v>90000</v>
      </c>
      <c r="AQ29">
        <v>57000</v>
      </c>
      <c r="AR29">
        <v>155000</v>
      </c>
      <c r="AS29">
        <v>32000</v>
      </c>
      <c r="AT29">
        <v>104000</v>
      </c>
      <c r="AU29">
        <v>186000</v>
      </c>
      <c r="AV29">
        <v>44000</v>
      </c>
      <c r="AW29">
        <v>52000</v>
      </c>
      <c r="AX29">
        <v>65000</v>
      </c>
      <c r="AY29">
        <v>81000</v>
      </c>
      <c r="AZ29">
        <v>7000</v>
      </c>
    </row>
    <row r="30" spans="1:52" x14ac:dyDescent="0.25">
      <c r="A30" t="s">
        <v>171</v>
      </c>
      <c r="B30" s="44" t="s">
        <v>122</v>
      </c>
      <c r="C30" s="44" t="s">
        <v>190</v>
      </c>
      <c r="D30">
        <v>8489</v>
      </c>
      <c r="E30">
        <v>16769</v>
      </c>
      <c r="F30">
        <v>11777</v>
      </c>
      <c r="G30">
        <v>23815</v>
      </c>
      <c r="H30">
        <v>13815</v>
      </c>
      <c r="I30">
        <v>14356</v>
      </c>
      <c r="J30">
        <v>18947</v>
      </c>
      <c r="K30">
        <v>7736</v>
      </c>
      <c r="L30">
        <v>20671</v>
      </c>
      <c r="M30">
        <v>35000</v>
      </c>
      <c r="N30">
        <v>16758</v>
      </c>
      <c r="O30">
        <v>18390</v>
      </c>
      <c r="P30">
        <v>17902</v>
      </c>
      <c r="Q30">
        <v>11600</v>
      </c>
      <c r="R30">
        <v>10486</v>
      </c>
      <c r="S30">
        <v>4847</v>
      </c>
      <c r="T30">
        <v>5781</v>
      </c>
      <c r="U30">
        <v>70000</v>
      </c>
      <c r="V30">
        <v>60000</v>
      </c>
      <c r="W30">
        <v>20000</v>
      </c>
      <c r="X30">
        <v>60000</v>
      </c>
      <c r="Y30">
        <v>40000</v>
      </c>
      <c r="Z30">
        <v>40000</v>
      </c>
      <c r="AA30">
        <v>20000</v>
      </c>
      <c r="AB30">
        <v>10000</v>
      </c>
      <c r="AC30">
        <v>13000</v>
      </c>
      <c r="AD30">
        <v>4000</v>
      </c>
      <c r="AE30">
        <v>8000</v>
      </c>
      <c r="AF30">
        <v>5000</v>
      </c>
      <c r="AG30">
        <v>39000</v>
      </c>
      <c r="AH30">
        <v>15000</v>
      </c>
      <c r="AI30">
        <v>20000</v>
      </c>
      <c r="AJ30">
        <v>29000</v>
      </c>
      <c r="AK30">
        <v>80000</v>
      </c>
      <c r="AL30">
        <v>25000</v>
      </c>
      <c r="AM30">
        <v>3000</v>
      </c>
      <c r="AN30">
        <v>6000</v>
      </c>
      <c r="AO30">
        <v>20000</v>
      </c>
      <c r="AP30">
        <v>38000</v>
      </c>
      <c r="AQ30">
        <v>81000</v>
      </c>
      <c r="AR30">
        <v>31179</v>
      </c>
      <c r="AS30">
        <v>42969</v>
      </c>
      <c r="AT30">
        <v>44609</v>
      </c>
      <c r="AU30">
        <v>30000</v>
      </c>
      <c r="AV30">
        <v>17000</v>
      </c>
      <c r="AW30">
        <v>45000</v>
      </c>
      <c r="AX30">
        <v>19000</v>
      </c>
      <c r="AY30">
        <v>29000</v>
      </c>
      <c r="AZ30" s="46">
        <v>12247.876977573436</v>
      </c>
    </row>
    <row r="31" spans="1:52" x14ac:dyDescent="0.25">
      <c r="A31" t="s">
        <v>171</v>
      </c>
      <c r="B31" s="44" t="s">
        <v>254</v>
      </c>
      <c r="C31" s="44" t="s">
        <v>191</v>
      </c>
      <c r="D31">
        <v>9594</v>
      </c>
      <c r="E31">
        <v>8000</v>
      </c>
      <c r="F31">
        <v>1900</v>
      </c>
      <c r="G31">
        <v>10000</v>
      </c>
      <c r="H31">
        <v>2000</v>
      </c>
      <c r="I31">
        <v>5000</v>
      </c>
      <c r="J31">
        <v>21412</v>
      </c>
      <c r="K31">
        <v>5000</v>
      </c>
      <c r="L31">
        <v>2000</v>
      </c>
      <c r="M31">
        <v>13134</v>
      </c>
      <c r="N31">
        <v>5000</v>
      </c>
      <c r="O31">
        <v>20783</v>
      </c>
      <c r="P31">
        <v>20231</v>
      </c>
      <c r="Q31">
        <v>13109</v>
      </c>
      <c r="R31">
        <v>35000</v>
      </c>
      <c r="S31">
        <v>5477</v>
      </c>
      <c r="T31">
        <v>6534</v>
      </c>
      <c r="U31">
        <v>42000</v>
      </c>
      <c r="V31">
        <v>45000</v>
      </c>
      <c r="W31">
        <v>82000</v>
      </c>
      <c r="X31">
        <v>15000</v>
      </c>
      <c r="Y31">
        <v>7000</v>
      </c>
      <c r="Z31">
        <v>22000</v>
      </c>
      <c r="AA31">
        <v>4200</v>
      </c>
      <c r="AB31">
        <v>15000</v>
      </c>
      <c r="AC31">
        <v>2000</v>
      </c>
      <c r="AD31">
        <v>4500</v>
      </c>
      <c r="AE31">
        <v>11000</v>
      </c>
      <c r="AF31">
        <v>17326</v>
      </c>
      <c r="AG31">
        <v>8000</v>
      </c>
      <c r="AH31">
        <v>20000</v>
      </c>
      <c r="AI31">
        <v>25000</v>
      </c>
      <c r="AJ31">
        <v>14000</v>
      </c>
      <c r="AK31">
        <v>25000</v>
      </c>
      <c r="AL31">
        <v>16000</v>
      </c>
      <c r="AM31">
        <v>15500</v>
      </c>
      <c r="AN31">
        <v>26000</v>
      </c>
      <c r="AO31">
        <v>47000</v>
      </c>
      <c r="AP31">
        <v>79000</v>
      </c>
      <c r="AQ31">
        <v>260000</v>
      </c>
      <c r="AR31">
        <v>44000</v>
      </c>
      <c r="AS31">
        <v>25000</v>
      </c>
      <c r="AT31">
        <v>57000</v>
      </c>
      <c r="AU31">
        <v>53000</v>
      </c>
      <c r="AV31">
        <v>25150</v>
      </c>
      <c r="AW31">
        <v>80000</v>
      </c>
      <c r="AX31">
        <v>38000</v>
      </c>
      <c r="AY31">
        <v>72000</v>
      </c>
      <c r="AZ31">
        <v>10000</v>
      </c>
    </row>
    <row r="32" spans="1:52" x14ac:dyDescent="0.25">
      <c r="A32" t="s">
        <v>192</v>
      </c>
      <c r="B32" s="44" t="s">
        <v>255</v>
      </c>
      <c r="C32" s="44" t="s">
        <v>193</v>
      </c>
      <c r="D32">
        <v>2743</v>
      </c>
      <c r="E32">
        <v>6973</v>
      </c>
      <c r="F32">
        <v>2667</v>
      </c>
      <c r="G32">
        <v>16332</v>
      </c>
      <c r="H32">
        <v>2620</v>
      </c>
      <c r="I32">
        <v>500</v>
      </c>
      <c r="J32">
        <v>1036</v>
      </c>
      <c r="K32">
        <v>3985</v>
      </c>
      <c r="L32">
        <v>100</v>
      </c>
      <c r="M32">
        <v>8385</v>
      </c>
      <c r="N32">
        <v>1158</v>
      </c>
      <c r="O32">
        <v>300</v>
      </c>
      <c r="P32">
        <v>2441</v>
      </c>
      <c r="Q32">
        <v>7105</v>
      </c>
      <c r="R32">
        <v>3748</v>
      </c>
      <c r="S32">
        <v>10047</v>
      </c>
      <c r="T32">
        <v>800</v>
      </c>
      <c r="U32">
        <v>34032</v>
      </c>
      <c r="V32">
        <v>6333</v>
      </c>
      <c r="W32">
        <v>32355</v>
      </c>
      <c r="X32">
        <v>4225</v>
      </c>
      <c r="Y32">
        <v>29293</v>
      </c>
      <c r="Z32">
        <v>12200</v>
      </c>
      <c r="AA32">
        <v>24618</v>
      </c>
      <c r="AB32">
        <v>3000</v>
      </c>
      <c r="AC32">
        <v>20000</v>
      </c>
      <c r="AD32">
        <v>15000</v>
      </c>
      <c r="AE32">
        <v>3000</v>
      </c>
      <c r="AF32">
        <v>5500</v>
      </c>
      <c r="AG32">
        <v>1000</v>
      </c>
      <c r="AH32">
        <v>300</v>
      </c>
      <c r="AI32">
        <v>14376</v>
      </c>
      <c r="AJ32">
        <v>7000</v>
      </c>
      <c r="AK32">
        <v>3000</v>
      </c>
      <c r="AL32">
        <v>55000</v>
      </c>
      <c r="AM32">
        <v>25000</v>
      </c>
      <c r="AN32">
        <v>46000</v>
      </c>
      <c r="AO32">
        <v>4300</v>
      </c>
      <c r="AP32">
        <v>143000</v>
      </c>
      <c r="AQ32">
        <v>66000</v>
      </c>
      <c r="AR32">
        <v>36000</v>
      </c>
      <c r="AS32">
        <v>26000</v>
      </c>
      <c r="AT32">
        <v>116000</v>
      </c>
      <c r="AU32">
        <v>38000</v>
      </c>
      <c r="AV32">
        <v>100000</v>
      </c>
      <c r="AW32">
        <v>44000</v>
      </c>
      <c r="AX32">
        <v>23000</v>
      </c>
      <c r="AY32">
        <v>48000</v>
      </c>
      <c r="AZ32">
        <v>13000</v>
      </c>
    </row>
    <row r="33" spans="1:52" x14ac:dyDescent="0.25">
      <c r="A33" t="s">
        <v>192</v>
      </c>
      <c r="B33" s="44" t="s">
        <v>256</v>
      </c>
      <c r="C33" s="44" t="s">
        <v>194</v>
      </c>
      <c r="D33">
        <v>2417</v>
      </c>
      <c r="E33">
        <v>6145</v>
      </c>
      <c r="F33">
        <v>2350</v>
      </c>
      <c r="G33">
        <v>500</v>
      </c>
      <c r="H33">
        <v>2309</v>
      </c>
      <c r="I33">
        <v>6659</v>
      </c>
      <c r="J33">
        <v>913</v>
      </c>
      <c r="K33">
        <v>100</v>
      </c>
      <c r="L33">
        <v>500</v>
      </c>
      <c r="M33">
        <v>7389</v>
      </c>
      <c r="N33">
        <v>1020</v>
      </c>
      <c r="O33">
        <v>4000</v>
      </c>
      <c r="P33">
        <v>2151</v>
      </c>
      <c r="Q33">
        <v>6261</v>
      </c>
      <c r="R33">
        <v>3303</v>
      </c>
      <c r="S33">
        <v>8854</v>
      </c>
      <c r="T33">
        <v>4585</v>
      </c>
      <c r="U33">
        <v>29990</v>
      </c>
      <c r="V33">
        <v>5580</v>
      </c>
      <c r="W33">
        <v>28512</v>
      </c>
      <c r="X33">
        <v>700</v>
      </c>
      <c r="Y33">
        <v>25814</v>
      </c>
      <c r="Z33">
        <v>10751</v>
      </c>
      <c r="AA33">
        <v>21694</v>
      </c>
      <c r="AB33">
        <v>3000</v>
      </c>
      <c r="AC33">
        <v>16000</v>
      </c>
      <c r="AD33">
        <v>2500</v>
      </c>
      <c r="AE33">
        <v>7409</v>
      </c>
      <c r="AF33">
        <v>2932</v>
      </c>
      <c r="AG33">
        <v>7748</v>
      </c>
      <c r="AH33">
        <v>5238</v>
      </c>
      <c r="AI33">
        <v>12669</v>
      </c>
      <c r="AJ33">
        <v>125000</v>
      </c>
      <c r="AK33">
        <v>2000</v>
      </c>
      <c r="AL33">
        <v>45000</v>
      </c>
      <c r="AM33">
        <v>30000</v>
      </c>
      <c r="AN33">
        <v>47000</v>
      </c>
      <c r="AO33">
        <v>25000</v>
      </c>
      <c r="AP33">
        <v>62000</v>
      </c>
      <c r="AQ33">
        <v>23000</v>
      </c>
      <c r="AR33">
        <v>26000</v>
      </c>
      <c r="AS33">
        <v>37000</v>
      </c>
      <c r="AT33">
        <v>43000</v>
      </c>
      <c r="AU33">
        <v>60000</v>
      </c>
      <c r="AV33">
        <v>60000</v>
      </c>
      <c r="AW33">
        <v>30000</v>
      </c>
      <c r="AX33">
        <v>26000</v>
      </c>
      <c r="AY33">
        <v>50000</v>
      </c>
      <c r="AZ33">
        <v>10000</v>
      </c>
    </row>
    <row r="34" spans="1:52" x14ac:dyDescent="0.25">
      <c r="A34" t="s">
        <v>192</v>
      </c>
      <c r="B34" s="44" t="s">
        <v>257</v>
      </c>
      <c r="C34" s="44" t="s">
        <v>195</v>
      </c>
      <c r="D34">
        <v>6200</v>
      </c>
      <c r="E34">
        <v>150</v>
      </c>
      <c r="F34">
        <v>3022</v>
      </c>
      <c r="G34">
        <v>1200</v>
      </c>
      <c r="H34">
        <v>2969</v>
      </c>
      <c r="I34">
        <v>300</v>
      </c>
      <c r="J34">
        <v>1174</v>
      </c>
      <c r="K34">
        <v>500</v>
      </c>
      <c r="L34">
        <v>200</v>
      </c>
      <c r="M34">
        <v>9502</v>
      </c>
      <c r="N34">
        <v>1312</v>
      </c>
      <c r="O34">
        <v>500</v>
      </c>
      <c r="P34">
        <v>2766</v>
      </c>
      <c r="Q34">
        <v>500</v>
      </c>
      <c r="R34">
        <v>4248</v>
      </c>
      <c r="S34">
        <v>11386</v>
      </c>
      <c r="T34">
        <v>5000</v>
      </c>
      <c r="U34">
        <v>38565</v>
      </c>
      <c r="V34">
        <v>7176</v>
      </c>
      <c r="W34">
        <v>36664</v>
      </c>
      <c r="X34">
        <v>5000</v>
      </c>
      <c r="Y34">
        <v>8000</v>
      </c>
      <c r="Z34">
        <v>5200</v>
      </c>
      <c r="AA34">
        <v>8000</v>
      </c>
      <c r="AB34">
        <v>20000</v>
      </c>
      <c r="AC34">
        <v>36000</v>
      </c>
      <c r="AD34">
        <v>1500</v>
      </c>
      <c r="AE34">
        <v>1000</v>
      </c>
      <c r="AF34">
        <v>4000</v>
      </c>
      <c r="AG34">
        <v>5000</v>
      </c>
      <c r="AH34">
        <v>4000</v>
      </c>
      <c r="AI34">
        <v>16291</v>
      </c>
      <c r="AJ34">
        <v>13000</v>
      </c>
      <c r="AK34">
        <v>9675</v>
      </c>
      <c r="AL34">
        <v>60000</v>
      </c>
      <c r="AM34">
        <v>20000</v>
      </c>
      <c r="AN34">
        <v>25000</v>
      </c>
      <c r="AO34">
        <v>27000</v>
      </c>
      <c r="AP34">
        <v>122000</v>
      </c>
      <c r="AQ34">
        <v>70000</v>
      </c>
      <c r="AR34">
        <v>34610</v>
      </c>
      <c r="AS34">
        <v>53568</v>
      </c>
      <c r="AT34">
        <v>49000</v>
      </c>
      <c r="AU34">
        <v>63000</v>
      </c>
      <c r="AV34">
        <v>113000</v>
      </c>
      <c r="AW34">
        <v>199000</v>
      </c>
      <c r="AX34">
        <v>36000</v>
      </c>
      <c r="AY34">
        <v>55000</v>
      </c>
      <c r="AZ34">
        <v>11000</v>
      </c>
    </row>
    <row r="35" spans="1:52" x14ac:dyDescent="0.25">
      <c r="A35" t="s">
        <v>192</v>
      </c>
      <c r="B35" s="44" t="s">
        <v>258</v>
      </c>
      <c r="C35" s="44" t="s">
        <v>196</v>
      </c>
      <c r="D35">
        <v>2125</v>
      </c>
      <c r="E35">
        <v>5403</v>
      </c>
      <c r="F35">
        <v>2066</v>
      </c>
      <c r="G35">
        <v>12654</v>
      </c>
      <c r="H35">
        <v>2030</v>
      </c>
      <c r="I35">
        <v>5855</v>
      </c>
      <c r="J35">
        <v>803</v>
      </c>
      <c r="K35">
        <v>3087</v>
      </c>
      <c r="L35">
        <v>200</v>
      </c>
      <c r="M35">
        <v>6496</v>
      </c>
      <c r="N35">
        <v>897</v>
      </c>
      <c r="O35">
        <v>2000</v>
      </c>
      <c r="P35">
        <v>500</v>
      </c>
      <c r="Q35">
        <v>5505</v>
      </c>
      <c r="R35">
        <v>2904</v>
      </c>
      <c r="S35">
        <v>7784</v>
      </c>
      <c r="T35">
        <v>4031</v>
      </c>
      <c r="U35">
        <v>26367</v>
      </c>
      <c r="V35">
        <v>4906</v>
      </c>
      <c r="W35">
        <v>5000</v>
      </c>
      <c r="X35">
        <v>20000</v>
      </c>
      <c r="Y35">
        <v>5000</v>
      </c>
      <c r="Z35">
        <v>2000</v>
      </c>
      <c r="AA35">
        <v>15000</v>
      </c>
      <c r="AB35">
        <v>40000</v>
      </c>
      <c r="AC35">
        <v>23000</v>
      </c>
      <c r="AD35">
        <v>4000</v>
      </c>
      <c r="AE35">
        <v>2000</v>
      </c>
      <c r="AF35">
        <v>1000</v>
      </c>
      <c r="AG35">
        <v>15500</v>
      </c>
      <c r="AH35">
        <v>15000</v>
      </c>
      <c r="AI35">
        <v>5000</v>
      </c>
      <c r="AJ35">
        <v>60000</v>
      </c>
      <c r="AK35">
        <v>3000</v>
      </c>
      <c r="AL35">
        <v>60000</v>
      </c>
      <c r="AM35">
        <v>15000</v>
      </c>
      <c r="AN35">
        <v>25000</v>
      </c>
      <c r="AO35">
        <v>29000</v>
      </c>
      <c r="AP35">
        <v>50000</v>
      </c>
      <c r="AQ35">
        <v>92674</v>
      </c>
      <c r="AR35">
        <v>23663</v>
      </c>
      <c r="AS35">
        <v>36625</v>
      </c>
      <c r="AT35">
        <v>35449</v>
      </c>
      <c r="AU35">
        <v>35000</v>
      </c>
      <c r="AV35">
        <v>12800</v>
      </c>
      <c r="AW35">
        <v>59196</v>
      </c>
      <c r="AX35">
        <v>16000</v>
      </c>
      <c r="AY35">
        <v>17000</v>
      </c>
      <c r="AZ35" s="47">
        <v>26987.681062366235</v>
      </c>
    </row>
    <row r="36" spans="1:52" x14ac:dyDescent="0.25">
      <c r="A36" t="s">
        <v>197</v>
      </c>
      <c r="B36" s="44" t="s">
        <v>259</v>
      </c>
      <c r="C36" s="44" t="s">
        <v>154</v>
      </c>
      <c r="D36">
        <v>250</v>
      </c>
      <c r="E36">
        <v>5093</v>
      </c>
      <c r="F36">
        <v>50</v>
      </c>
      <c r="G36">
        <v>200</v>
      </c>
      <c r="H36">
        <v>100</v>
      </c>
      <c r="I36">
        <v>5519</v>
      </c>
      <c r="J36">
        <v>757</v>
      </c>
      <c r="K36">
        <v>2911</v>
      </c>
      <c r="L36">
        <v>302</v>
      </c>
      <c r="M36">
        <v>6124</v>
      </c>
      <c r="N36">
        <v>845</v>
      </c>
      <c r="O36">
        <v>300</v>
      </c>
      <c r="P36">
        <v>1783</v>
      </c>
      <c r="Q36">
        <v>5189</v>
      </c>
      <c r="R36">
        <v>2738</v>
      </c>
      <c r="S36">
        <v>7338</v>
      </c>
      <c r="T36">
        <v>3800</v>
      </c>
      <c r="U36">
        <v>24856</v>
      </c>
      <c r="V36">
        <v>4625</v>
      </c>
      <c r="W36">
        <v>23631</v>
      </c>
      <c r="X36">
        <v>3086</v>
      </c>
      <c r="Y36">
        <v>9000</v>
      </c>
      <c r="Z36">
        <v>8911</v>
      </c>
      <c r="AA36">
        <v>5200</v>
      </c>
      <c r="AB36">
        <v>26000</v>
      </c>
      <c r="AC36">
        <v>14000</v>
      </c>
      <c r="AD36">
        <v>4818</v>
      </c>
      <c r="AE36">
        <v>6141</v>
      </c>
      <c r="AF36">
        <v>2430</v>
      </c>
      <c r="AG36">
        <v>6422</v>
      </c>
      <c r="AH36">
        <v>4341</v>
      </c>
      <c r="AI36">
        <v>10500</v>
      </c>
      <c r="AJ36">
        <v>7655</v>
      </c>
      <c r="AK36">
        <v>6236</v>
      </c>
      <c r="AL36">
        <v>19208</v>
      </c>
      <c r="AM36">
        <v>19671</v>
      </c>
      <c r="AN36">
        <v>32000</v>
      </c>
      <c r="AO36">
        <v>12500</v>
      </c>
      <c r="AP36">
        <v>78000</v>
      </c>
      <c r="AQ36">
        <v>87363</v>
      </c>
      <c r="AR36">
        <v>22307</v>
      </c>
      <c r="AS36">
        <v>6000</v>
      </c>
      <c r="AT36">
        <v>33418</v>
      </c>
      <c r="AU36">
        <v>16000</v>
      </c>
      <c r="AV36">
        <v>60000</v>
      </c>
      <c r="AW36">
        <v>85000</v>
      </c>
      <c r="AX36">
        <v>46000</v>
      </c>
      <c r="AY36">
        <v>43000</v>
      </c>
      <c r="AZ36">
        <v>38000</v>
      </c>
    </row>
    <row r="37" spans="1:52" x14ac:dyDescent="0.25">
      <c r="A37" t="s">
        <v>197</v>
      </c>
      <c r="B37" s="44" t="s">
        <v>156</v>
      </c>
      <c r="C37" s="44" t="s">
        <v>155</v>
      </c>
      <c r="D37">
        <v>3278</v>
      </c>
      <c r="E37">
        <v>20</v>
      </c>
      <c r="F37">
        <v>3187</v>
      </c>
      <c r="G37">
        <v>500</v>
      </c>
      <c r="H37">
        <v>1000</v>
      </c>
      <c r="I37">
        <v>9031</v>
      </c>
      <c r="J37">
        <v>1238</v>
      </c>
      <c r="K37">
        <v>4762</v>
      </c>
      <c r="L37">
        <v>494</v>
      </c>
      <c r="M37">
        <v>10020</v>
      </c>
      <c r="N37">
        <v>1383</v>
      </c>
      <c r="O37">
        <v>200</v>
      </c>
      <c r="P37">
        <v>2917</v>
      </c>
      <c r="Q37">
        <v>8491</v>
      </c>
      <c r="R37">
        <v>4480</v>
      </c>
      <c r="S37">
        <v>12007</v>
      </c>
      <c r="T37">
        <v>6217</v>
      </c>
      <c r="U37">
        <v>40670</v>
      </c>
      <c r="V37">
        <v>7568</v>
      </c>
      <c r="W37">
        <v>38665</v>
      </c>
      <c r="X37">
        <v>5049</v>
      </c>
      <c r="Y37">
        <v>23000</v>
      </c>
      <c r="Z37">
        <v>25000</v>
      </c>
      <c r="AA37">
        <v>24000</v>
      </c>
      <c r="AB37">
        <v>80000</v>
      </c>
      <c r="AC37">
        <v>20000</v>
      </c>
      <c r="AD37">
        <v>12000</v>
      </c>
      <c r="AE37">
        <v>15000</v>
      </c>
      <c r="AF37">
        <v>4000</v>
      </c>
      <c r="AG37">
        <v>500</v>
      </c>
      <c r="AH37">
        <v>6000</v>
      </c>
      <c r="AI37">
        <v>17180</v>
      </c>
      <c r="AJ37">
        <v>14000</v>
      </c>
      <c r="AK37">
        <v>10203</v>
      </c>
      <c r="AL37">
        <v>38000</v>
      </c>
      <c r="AM37">
        <v>15000</v>
      </c>
      <c r="AN37">
        <v>50000</v>
      </c>
      <c r="AO37">
        <v>68469</v>
      </c>
      <c r="AP37">
        <v>74000</v>
      </c>
      <c r="AQ37">
        <v>42000</v>
      </c>
      <c r="AR37">
        <v>25000</v>
      </c>
      <c r="AS37">
        <v>18000</v>
      </c>
      <c r="AT37">
        <v>81000</v>
      </c>
      <c r="AU37">
        <v>48000</v>
      </c>
      <c r="AV37">
        <v>95000</v>
      </c>
      <c r="AW37">
        <v>100000</v>
      </c>
      <c r="AX37">
        <v>111000</v>
      </c>
      <c r="AY37">
        <v>85000</v>
      </c>
      <c r="AZ37">
        <v>46000</v>
      </c>
    </row>
    <row r="38" spans="1:52" x14ac:dyDescent="0.25">
      <c r="A38" t="s">
        <v>198</v>
      </c>
      <c r="B38" s="44" t="s">
        <v>127</v>
      </c>
      <c r="C38" s="44" t="s">
        <v>199</v>
      </c>
      <c r="D38">
        <v>2500</v>
      </c>
      <c r="E38">
        <v>2000</v>
      </c>
      <c r="F38">
        <v>250</v>
      </c>
      <c r="G38">
        <v>7000</v>
      </c>
      <c r="H38">
        <v>500</v>
      </c>
      <c r="I38">
        <v>13493</v>
      </c>
      <c r="J38">
        <v>1850</v>
      </c>
      <c r="K38">
        <v>500</v>
      </c>
      <c r="L38">
        <v>100</v>
      </c>
      <c r="M38">
        <v>14972</v>
      </c>
      <c r="N38">
        <v>2067</v>
      </c>
      <c r="O38">
        <v>8166</v>
      </c>
      <c r="P38">
        <v>4358</v>
      </c>
      <c r="Q38">
        <v>5300</v>
      </c>
      <c r="R38">
        <v>6000</v>
      </c>
      <c r="S38">
        <v>17500</v>
      </c>
      <c r="T38">
        <v>25000</v>
      </c>
      <c r="U38">
        <v>70000</v>
      </c>
      <c r="V38">
        <v>25000</v>
      </c>
      <c r="W38">
        <v>55000</v>
      </c>
      <c r="X38">
        <v>15000</v>
      </c>
      <c r="Y38">
        <v>79000</v>
      </c>
      <c r="Z38">
        <v>50000</v>
      </c>
      <c r="AA38">
        <v>80000</v>
      </c>
      <c r="AB38">
        <v>57000</v>
      </c>
      <c r="AC38">
        <v>17000</v>
      </c>
      <c r="AD38">
        <v>43000</v>
      </c>
      <c r="AE38">
        <v>15000</v>
      </c>
      <c r="AF38">
        <v>4000</v>
      </c>
      <c r="AG38">
        <v>300</v>
      </c>
      <c r="AH38">
        <v>4000</v>
      </c>
      <c r="AI38">
        <v>12000</v>
      </c>
      <c r="AJ38">
        <v>8000</v>
      </c>
      <c r="AK38">
        <v>4000</v>
      </c>
      <c r="AL38">
        <v>90000</v>
      </c>
      <c r="AM38">
        <v>66000</v>
      </c>
      <c r="AN38">
        <v>160000</v>
      </c>
      <c r="AO38">
        <v>97000</v>
      </c>
      <c r="AP38">
        <v>49000</v>
      </c>
      <c r="AQ38">
        <v>120000</v>
      </c>
      <c r="AR38">
        <v>54536</v>
      </c>
      <c r="AS38">
        <v>84000</v>
      </c>
      <c r="AT38">
        <v>125000</v>
      </c>
      <c r="AU38">
        <v>149000</v>
      </c>
      <c r="AV38">
        <v>48000</v>
      </c>
      <c r="AW38">
        <v>85000</v>
      </c>
      <c r="AX38">
        <v>58000</v>
      </c>
      <c r="AY38">
        <v>51000</v>
      </c>
      <c r="AZ38">
        <v>54000</v>
      </c>
    </row>
    <row r="39" spans="1:52" x14ac:dyDescent="0.25">
      <c r="A39" t="s">
        <v>198</v>
      </c>
      <c r="B39" s="44" t="s">
        <v>252</v>
      </c>
      <c r="C39" s="44" t="s">
        <v>200</v>
      </c>
      <c r="D39">
        <v>620</v>
      </c>
      <c r="E39">
        <v>1576</v>
      </c>
      <c r="F39">
        <v>602</v>
      </c>
      <c r="G39">
        <v>3690</v>
      </c>
      <c r="H39">
        <v>592</v>
      </c>
      <c r="I39">
        <v>1707</v>
      </c>
      <c r="J39">
        <v>234</v>
      </c>
      <c r="K39">
        <v>900</v>
      </c>
      <c r="L39">
        <v>93</v>
      </c>
      <c r="M39">
        <v>1894</v>
      </c>
      <c r="N39">
        <v>262</v>
      </c>
      <c r="O39">
        <v>1033</v>
      </c>
      <c r="P39">
        <v>551</v>
      </c>
      <c r="Q39">
        <v>1605</v>
      </c>
      <c r="R39">
        <v>847</v>
      </c>
      <c r="S39">
        <v>2270</v>
      </c>
      <c r="T39">
        <v>1175</v>
      </c>
      <c r="U39">
        <v>7689</v>
      </c>
      <c r="V39">
        <v>1431</v>
      </c>
      <c r="W39">
        <v>7310</v>
      </c>
      <c r="X39">
        <v>200</v>
      </c>
      <c r="Y39">
        <v>300</v>
      </c>
      <c r="Z39">
        <v>2756</v>
      </c>
      <c r="AA39">
        <v>3000</v>
      </c>
      <c r="AB39">
        <v>2500</v>
      </c>
      <c r="AC39">
        <v>7925</v>
      </c>
      <c r="AD39">
        <v>1500</v>
      </c>
      <c r="AE39">
        <v>1000</v>
      </c>
      <c r="AF39">
        <v>752</v>
      </c>
      <c r="AG39">
        <v>1986</v>
      </c>
      <c r="AH39">
        <v>300</v>
      </c>
      <c r="AI39">
        <v>500</v>
      </c>
      <c r="AJ39">
        <v>300</v>
      </c>
      <c r="AK39">
        <v>1929</v>
      </c>
      <c r="AL39">
        <v>3000</v>
      </c>
      <c r="AM39">
        <v>1500</v>
      </c>
      <c r="AN39">
        <v>8000</v>
      </c>
      <c r="AO39">
        <v>12945</v>
      </c>
      <c r="AP39">
        <v>10978</v>
      </c>
      <c r="AQ39">
        <v>5000</v>
      </c>
      <c r="AR39">
        <v>6901</v>
      </c>
      <c r="AS39">
        <v>26000</v>
      </c>
      <c r="AT39">
        <v>10337</v>
      </c>
      <c r="AU39">
        <v>30000</v>
      </c>
      <c r="AV39">
        <v>30000</v>
      </c>
      <c r="AW39">
        <v>13000</v>
      </c>
      <c r="AX39">
        <v>6000</v>
      </c>
      <c r="AY39">
        <v>14000</v>
      </c>
      <c r="AZ39">
        <v>6000</v>
      </c>
    </row>
    <row r="40" spans="1:52" x14ac:dyDescent="0.25">
      <c r="A40" t="s">
        <v>198</v>
      </c>
      <c r="B40" s="44" t="s">
        <v>126</v>
      </c>
      <c r="C40" s="44" t="s">
        <v>201</v>
      </c>
      <c r="D40">
        <v>2400</v>
      </c>
      <c r="E40">
        <v>4500</v>
      </c>
      <c r="F40">
        <v>4399</v>
      </c>
      <c r="G40">
        <v>26942</v>
      </c>
      <c r="H40">
        <v>4000</v>
      </c>
      <c r="I40">
        <v>12466</v>
      </c>
      <c r="J40">
        <v>1709</v>
      </c>
      <c r="K40">
        <v>6574</v>
      </c>
      <c r="L40">
        <v>682</v>
      </c>
      <c r="M40">
        <v>13832</v>
      </c>
      <c r="N40">
        <v>1910</v>
      </c>
      <c r="O40">
        <v>7545</v>
      </c>
      <c r="P40">
        <v>4027</v>
      </c>
      <c r="Q40">
        <v>11721</v>
      </c>
      <c r="R40">
        <v>6184</v>
      </c>
      <c r="S40">
        <v>3000</v>
      </c>
      <c r="T40">
        <v>8582</v>
      </c>
      <c r="U40">
        <v>15000</v>
      </c>
      <c r="V40">
        <v>5500</v>
      </c>
      <c r="W40">
        <v>5000</v>
      </c>
      <c r="X40">
        <v>5000</v>
      </c>
      <c r="Y40">
        <v>45000</v>
      </c>
      <c r="Z40">
        <v>20125</v>
      </c>
      <c r="AA40">
        <v>15000</v>
      </c>
      <c r="AB40">
        <v>70000</v>
      </c>
      <c r="AC40">
        <v>110000</v>
      </c>
      <c r="AD40">
        <v>3000</v>
      </c>
      <c r="AE40">
        <v>12000</v>
      </c>
      <c r="AF40">
        <v>500</v>
      </c>
      <c r="AG40">
        <v>14504</v>
      </c>
      <c r="AH40">
        <v>9805</v>
      </c>
      <c r="AI40">
        <v>2000</v>
      </c>
      <c r="AJ40">
        <v>1500</v>
      </c>
      <c r="AK40">
        <v>1000</v>
      </c>
      <c r="AL40">
        <v>15000</v>
      </c>
      <c r="AM40">
        <v>12000</v>
      </c>
      <c r="AN40">
        <v>40000</v>
      </c>
      <c r="AO40">
        <v>62000</v>
      </c>
      <c r="AP40">
        <v>100000</v>
      </c>
      <c r="AQ40">
        <v>230000</v>
      </c>
      <c r="AR40">
        <v>50384</v>
      </c>
      <c r="AS40">
        <v>71000</v>
      </c>
      <c r="AT40">
        <v>144000</v>
      </c>
      <c r="AU40">
        <v>140000</v>
      </c>
      <c r="AV40">
        <v>111000</v>
      </c>
      <c r="AW40">
        <v>146000</v>
      </c>
      <c r="AX40">
        <v>95000</v>
      </c>
      <c r="AY40">
        <v>71000</v>
      </c>
      <c r="AZ40">
        <v>74000</v>
      </c>
    </row>
    <row r="41" spans="1:52" x14ac:dyDescent="0.25">
      <c r="A41" t="s">
        <v>198</v>
      </c>
      <c r="B41" s="44" t="s">
        <v>88</v>
      </c>
      <c r="C41" s="44" t="s">
        <v>202</v>
      </c>
      <c r="D41">
        <v>1304</v>
      </c>
      <c r="E41">
        <v>3315</v>
      </c>
      <c r="F41">
        <v>1268</v>
      </c>
      <c r="G41">
        <v>7763</v>
      </c>
      <c r="H41">
        <v>1245</v>
      </c>
      <c r="I41">
        <v>3592</v>
      </c>
      <c r="J41">
        <v>493</v>
      </c>
      <c r="K41">
        <v>1894</v>
      </c>
      <c r="L41">
        <v>197</v>
      </c>
      <c r="M41">
        <v>3986</v>
      </c>
      <c r="N41">
        <v>550</v>
      </c>
      <c r="O41">
        <v>2174</v>
      </c>
      <c r="P41">
        <v>1160</v>
      </c>
      <c r="Q41">
        <v>3377</v>
      </c>
      <c r="R41">
        <v>1782</v>
      </c>
      <c r="S41">
        <v>4776</v>
      </c>
      <c r="T41">
        <v>2473</v>
      </c>
      <c r="U41">
        <v>13000</v>
      </c>
      <c r="V41">
        <v>3010</v>
      </c>
      <c r="W41">
        <v>2000</v>
      </c>
      <c r="X41">
        <v>2008</v>
      </c>
      <c r="Y41">
        <v>25000</v>
      </c>
      <c r="Z41">
        <v>5000</v>
      </c>
      <c r="AA41">
        <v>10000</v>
      </c>
      <c r="AB41">
        <v>15000</v>
      </c>
      <c r="AC41">
        <v>40000</v>
      </c>
      <c r="AD41">
        <v>4000</v>
      </c>
      <c r="AE41">
        <v>2000</v>
      </c>
      <c r="AF41">
        <v>100</v>
      </c>
      <c r="AG41">
        <v>4179</v>
      </c>
      <c r="AH41">
        <v>2825</v>
      </c>
      <c r="AI41">
        <v>500</v>
      </c>
      <c r="AJ41">
        <v>4982</v>
      </c>
      <c r="AK41">
        <v>4058</v>
      </c>
      <c r="AL41">
        <v>4000</v>
      </c>
      <c r="AM41">
        <v>1500</v>
      </c>
      <c r="AN41">
        <v>18000</v>
      </c>
      <c r="AO41">
        <v>3600</v>
      </c>
      <c r="AP41">
        <v>18000</v>
      </c>
      <c r="AQ41">
        <v>3500</v>
      </c>
      <c r="AR41">
        <v>55100</v>
      </c>
      <c r="AS41">
        <v>22470</v>
      </c>
      <c r="AT41">
        <v>65000</v>
      </c>
      <c r="AU41">
        <v>26000</v>
      </c>
      <c r="AV41">
        <v>25000</v>
      </c>
      <c r="AW41">
        <v>32000</v>
      </c>
      <c r="AX41">
        <v>14000</v>
      </c>
      <c r="AY41">
        <v>35000</v>
      </c>
      <c r="AZ41">
        <v>28000</v>
      </c>
    </row>
    <row r="42" spans="1:52" x14ac:dyDescent="0.25">
      <c r="A42" t="s">
        <v>198</v>
      </c>
      <c r="B42" s="44" t="s">
        <v>260</v>
      </c>
      <c r="C42" s="44" t="s">
        <v>203</v>
      </c>
      <c r="D42">
        <v>1045</v>
      </c>
      <c r="E42">
        <v>2657</v>
      </c>
      <c r="F42">
        <v>1016</v>
      </c>
      <c r="G42">
        <v>200</v>
      </c>
      <c r="H42">
        <v>998</v>
      </c>
      <c r="I42">
        <v>2879</v>
      </c>
      <c r="J42">
        <v>395</v>
      </c>
      <c r="K42">
        <v>250</v>
      </c>
      <c r="L42">
        <v>158</v>
      </c>
      <c r="M42">
        <v>3195</v>
      </c>
      <c r="N42">
        <v>441</v>
      </c>
      <c r="O42">
        <v>5000</v>
      </c>
      <c r="P42">
        <v>930</v>
      </c>
      <c r="Q42">
        <v>500</v>
      </c>
      <c r="R42">
        <v>1000</v>
      </c>
      <c r="S42">
        <v>6000</v>
      </c>
      <c r="T42">
        <v>1982</v>
      </c>
      <c r="U42">
        <v>20000</v>
      </c>
      <c r="V42">
        <v>1000</v>
      </c>
      <c r="W42">
        <v>4000</v>
      </c>
      <c r="X42">
        <v>20</v>
      </c>
      <c r="Y42">
        <v>2000</v>
      </c>
      <c r="Z42">
        <v>4648</v>
      </c>
      <c r="AA42">
        <v>3000</v>
      </c>
      <c r="AB42">
        <v>6446</v>
      </c>
      <c r="AC42">
        <v>10000</v>
      </c>
      <c r="AD42">
        <v>1000</v>
      </c>
      <c r="AE42">
        <v>6000</v>
      </c>
      <c r="AF42">
        <v>700</v>
      </c>
      <c r="AG42">
        <v>3350</v>
      </c>
      <c r="AH42">
        <v>100</v>
      </c>
      <c r="AI42">
        <v>3000</v>
      </c>
      <c r="AJ42">
        <v>50</v>
      </c>
      <c r="AK42">
        <v>3253</v>
      </c>
      <c r="AL42">
        <v>200</v>
      </c>
      <c r="AM42">
        <v>10262</v>
      </c>
      <c r="AN42">
        <v>11775</v>
      </c>
      <c r="AO42">
        <v>21830</v>
      </c>
      <c r="AP42">
        <v>65000</v>
      </c>
      <c r="AQ42">
        <v>45576</v>
      </c>
      <c r="AR42">
        <v>11637</v>
      </c>
      <c r="AS42">
        <v>6000</v>
      </c>
      <c r="AT42">
        <v>17433</v>
      </c>
      <c r="AU42">
        <v>26610</v>
      </c>
      <c r="AV42">
        <v>18000</v>
      </c>
      <c r="AW42">
        <v>33000</v>
      </c>
      <c r="AX42">
        <v>12000</v>
      </c>
      <c r="AY42">
        <v>26000</v>
      </c>
      <c r="AZ42">
        <v>23000</v>
      </c>
    </row>
    <row r="43" spans="1:52" x14ac:dyDescent="0.25">
      <c r="A43" t="s">
        <v>198</v>
      </c>
      <c r="B43" s="44" t="s">
        <v>151</v>
      </c>
      <c r="C43" s="44" t="s">
        <v>150</v>
      </c>
      <c r="D43">
        <v>2915</v>
      </c>
      <c r="E43">
        <v>7412</v>
      </c>
      <c r="F43">
        <v>900</v>
      </c>
      <c r="G43">
        <v>9000</v>
      </c>
      <c r="H43">
        <v>500</v>
      </c>
      <c r="I43">
        <v>100</v>
      </c>
      <c r="J43">
        <v>1000</v>
      </c>
      <c r="K43">
        <v>4236</v>
      </c>
      <c r="L43">
        <v>500</v>
      </c>
      <c r="M43">
        <v>8912</v>
      </c>
      <c r="N43">
        <v>1230</v>
      </c>
      <c r="O43">
        <v>4861</v>
      </c>
      <c r="P43">
        <v>200</v>
      </c>
      <c r="Q43">
        <v>6000</v>
      </c>
      <c r="R43">
        <v>500</v>
      </c>
      <c r="S43">
        <v>10000</v>
      </c>
      <c r="T43">
        <v>800</v>
      </c>
      <c r="U43">
        <v>27000</v>
      </c>
      <c r="V43">
        <v>2500</v>
      </c>
      <c r="W43">
        <v>10000</v>
      </c>
      <c r="X43">
        <v>4491</v>
      </c>
      <c r="Y43">
        <v>26000</v>
      </c>
      <c r="Z43">
        <v>7000</v>
      </c>
      <c r="AA43">
        <v>18000</v>
      </c>
      <c r="AB43">
        <v>7000</v>
      </c>
      <c r="AC43">
        <v>22000</v>
      </c>
      <c r="AD43">
        <v>7011</v>
      </c>
      <c r="AE43">
        <v>8937</v>
      </c>
      <c r="AF43">
        <v>3536</v>
      </c>
      <c r="AG43">
        <v>9345</v>
      </c>
      <c r="AH43">
        <v>6318</v>
      </c>
      <c r="AI43">
        <v>4000</v>
      </c>
      <c r="AJ43">
        <v>11140</v>
      </c>
      <c r="AK43">
        <v>5000</v>
      </c>
      <c r="AL43">
        <v>27954</v>
      </c>
      <c r="AM43">
        <v>7000</v>
      </c>
      <c r="AN43">
        <v>40000</v>
      </c>
      <c r="AO43">
        <v>165000</v>
      </c>
      <c r="AP43">
        <v>95000</v>
      </c>
      <c r="AQ43">
        <v>39000</v>
      </c>
      <c r="AR43">
        <v>25000</v>
      </c>
      <c r="AS43">
        <v>26000</v>
      </c>
      <c r="AT43">
        <v>48633</v>
      </c>
      <c r="AU43">
        <v>100000</v>
      </c>
      <c r="AV43">
        <v>61000</v>
      </c>
      <c r="AW43">
        <v>65000</v>
      </c>
      <c r="AX43">
        <v>75000</v>
      </c>
      <c r="AY43">
        <v>110000</v>
      </c>
      <c r="AZ43">
        <v>38000</v>
      </c>
    </row>
    <row r="44" spans="1:52" x14ac:dyDescent="0.25">
      <c r="A44" t="s">
        <v>198</v>
      </c>
      <c r="B44" s="44" t="s">
        <v>261</v>
      </c>
      <c r="C44" s="44" t="s">
        <v>204</v>
      </c>
      <c r="D44">
        <v>2900</v>
      </c>
      <c r="E44">
        <v>3000</v>
      </c>
      <c r="F44">
        <v>5000</v>
      </c>
      <c r="G44">
        <v>18000</v>
      </c>
      <c r="H44">
        <v>1000</v>
      </c>
      <c r="I44">
        <v>5000</v>
      </c>
      <c r="J44">
        <v>1500</v>
      </c>
      <c r="K44">
        <v>2000</v>
      </c>
      <c r="L44">
        <v>309</v>
      </c>
      <c r="M44">
        <v>6267</v>
      </c>
      <c r="N44">
        <v>200</v>
      </c>
      <c r="O44">
        <v>3000</v>
      </c>
      <c r="P44">
        <v>1824</v>
      </c>
      <c r="Q44">
        <v>19000</v>
      </c>
      <c r="R44">
        <v>2802</v>
      </c>
      <c r="S44">
        <v>20000</v>
      </c>
      <c r="T44">
        <v>5000</v>
      </c>
      <c r="U44">
        <v>50000</v>
      </c>
      <c r="V44">
        <v>5000</v>
      </c>
      <c r="W44">
        <v>10000</v>
      </c>
      <c r="X44">
        <v>700</v>
      </c>
      <c r="Y44">
        <v>18000</v>
      </c>
      <c r="Z44">
        <v>9000</v>
      </c>
      <c r="AA44">
        <v>12000</v>
      </c>
      <c r="AB44">
        <v>25000</v>
      </c>
      <c r="AC44">
        <v>16000</v>
      </c>
      <c r="AD44">
        <v>2000</v>
      </c>
      <c r="AE44">
        <v>300</v>
      </c>
      <c r="AF44">
        <v>2487</v>
      </c>
      <c r="AG44">
        <v>1100</v>
      </c>
      <c r="AH44">
        <v>4443</v>
      </c>
      <c r="AI44">
        <v>5000</v>
      </c>
      <c r="AJ44">
        <v>7834</v>
      </c>
      <c r="AK44">
        <v>3000</v>
      </c>
      <c r="AL44">
        <v>20000</v>
      </c>
      <c r="AM44">
        <v>30000</v>
      </c>
      <c r="AN44">
        <v>46000</v>
      </c>
      <c r="AO44">
        <v>41000</v>
      </c>
      <c r="AP44">
        <v>25000</v>
      </c>
      <c r="AQ44">
        <v>17000</v>
      </c>
      <c r="AR44">
        <v>20000</v>
      </c>
      <c r="AS44">
        <v>15000</v>
      </c>
      <c r="AT44">
        <v>35000</v>
      </c>
      <c r="AU44">
        <v>70000</v>
      </c>
      <c r="AV44">
        <v>50000</v>
      </c>
      <c r="AW44">
        <v>80000</v>
      </c>
      <c r="AX44">
        <v>31000</v>
      </c>
      <c r="AY44">
        <v>41000</v>
      </c>
      <c r="AZ44">
        <v>18000</v>
      </c>
    </row>
    <row r="45" spans="1:52" x14ac:dyDescent="0.25">
      <c r="A45" t="s">
        <v>198</v>
      </c>
      <c r="B45" s="44" t="s">
        <v>262</v>
      </c>
      <c r="C45" s="44" t="s">
        <v>205</v>
      </c>
      <c r="D45">
        <v>4185</v>
      </c>
      <c r="E45">
        <v>6500</v>
      </c>
      <c r="F45">
        <v>1400</v>
      </c>
      <c r="G45">
        <v>60000</v>
      </c>
      <c r="H45">
        <v>500</v>
      </c>
      <c r="I45">
        <v>30000</v>
      </c>
      <c r="J45">
        <v>2000</v>
      </c>
      <c r="K45">
        <v>15000</v>
      </c>
      <c r="L45">
        <v>631</v>
      </c>
      <c r="M45">
        <v>12793</v>
      </c>
      <c r="N45">
        <v>500</v>
      </c>
      <c r="O45">
        <v>6978</v>
      </c>
      <c r="P45">
        <v>1300</v>
      </c>
      <c r="Q45">
        <v>15000</v>
      </c>
      <c r="R45">
        <v>5719</v>
      </c>
      <c r="S45">
        <v>20000</v>
      </c>
      <c r="T45">
        <v>3500</v>
      </c>
      <c r="U45">
        <v>105000</v>
      </c>
      <c r="V45">
        <v>12000</v>
      </c>
      <c r="W45">
        <v>49362</v>
      </c>
      <c r="X45">
        <v>2300</v>
      </c>
      <c r="Y45">
        <v>60000</v>
      </c>
      <c r="Z45">
        <v>16000</v>
      </c>
      <c r="AA45">
        <v>38000</v>
      </c>
      <c r="AB45">
        <v>38000</v>
      </c>
      <c r="AC45">
        <v>85000</v>
      </c>
      <c r="AD45">
        <v>7000</v>
      </c>
      <c r="AE45">
        <v>4000</v>
      </c>
      <c r="AF45">
        <v>150</v>
      </c>
      <c r="AG45">
        <v>3000</v>
      </c>
      <c r="AH45">
        <v>1000</v>
      </c>
      <c r="AI45">
        <v>15000</v>
      </c>
      <c r="AJ45">
        <v>6000</v>
      </c>
      <c r="AK45">
        <v>5000</v>
      </c>
      <c r="AL45">
        <v>44000</v>
      </c>
      <c r="AM45">
        <v>49000</v>
      </c>
      <c r="AN45">
        <v>84000</v>
      </c>
      <c r="AO45">
        <v>160000</v>
      </c>
      <c r="AP45">
        <v>38000</v>
      </c>
      <c r="AQ45">
        <v>38000</v>
      </c>
      <c r="AR45">
        <v>51000</v>
      </c>
      <c r="AS45">
        <v>32000</v>
      </c>
      <c r="AT45">
        <v>58000</v>
      </c>
      <c r="AU45">
        <v>156000</v>
      </c>
      <c r="AV45">
        <v>55000</v>
      </c>
      <c r="AW45">
        <v>142000</v>
      </c>
      <c r="AX45">
        <v>30000</v>
      </c>
      <c r="AY45">
        <v>42000</v>
      </c>
      <c r="AZ45">
        <v>24000</v>
      </c>
    </row>
    <row r="46" spans="1:52" x14ac:dyDescent="0.25">
      <c r="A46" t="s">
        <v>198</v>
      </c>
      <c r="B46" s="44" t="s">
        <v>263</v>
      </c>
      <c r="C46" s="44" t="s">
        <v>206</v>
      </c>
      <c r="D46">
        <v>2200</v>
      </c>
      <c r="E46">
        <v>14000</v>
      </c>
      <c r="F46">
        <v>2900</v>
      </c>
      <c r="G46">
        <v>17000</v>
      </c>
      <c r="H46">
        <v>800</v>
      </c>
      <c r="I46">
        <v>9000</v>
      </c>
      <c r="J46">
        <v>2000</v>
      </c>
      <c r="K46">
        <v>10000</v>
      </c>
      <c r="L46">
        <v>1000</v>
      </c>
      <c r="M46">
        <v>15000</v>
      </c>
      <c r="N46">
        <v>1000</v>
      </c>
      <c r="O46">
        <v>10000</v>
      </c>
      <c r="P46">
        <v>1900</v>
      </c>
      <c r="Q46">
        <v>22000</v>
      </c>
      <c r="R46">
        <v>25000</v>
      </c>
      <c r="S46">
        <v>35000</v>
      </c>
      <c r="T46">
        <v>11599</v>
      </c>
      <c r="U46">
        <v>150000</v>
      </c>
      <c r="V46">
        <v>10000</v>
      </c>
      <c r="W46">
        <v>110000</v>
      </c>
      <c r="X46">
        <v>9420</v>
      </c>
      <c r="Y46">
        <v>80000</v>
      </c>
      <c r="Z46">
        <v>5000</v>
      </c>
      <c r="AA46">
        <v>35000</v>
      </c>
      <c r="AB46">
        <v>25000</v>
      </c>
      <c r="AC46">
        <v>81000</v>
      </c>
      <c r="AD46">
        <v>14706</v>
      </c>
      <c r="AE46">
        <v>13500</v>
      </c>
      <c r="AF46">
        <v>7417</v>
      </c>
      <c r="AG46">
        <v>7000</v>
      </c>
      <c r="AH46">
        <v>2000</v>
      </c>
      <c r="AI46">
        <v>7000</v>
      </c>
      <c r="AJ46">
        <v>3500</v>
      </c>
      <c r="AK46">
        <v>2000</v>
      </c>
      <c r="AL46">
        <v>50000</v>
      </c>
      <c r="AM46">
        <v>14000</v>
      </c>
      <c r="AN46">
        <v>1500</v>
      </c>
      <c r="AO46">
        <v>145000</v>
      </c>
      <c r="AP46">
        <v>150000</v>
      </c>
      <c r="AQ46">
        <v>290000</v>
      </c>
      <c r="AR46">
        <v>170000</v>
      </c>
      <c r="AS46">
        <v>96000</v>
      </c>
      <c r="AT46">
        <v>89000</v>
      </c>
      <c r="AU46">
        <v>160000</v>
      </c>
      <c r="AV46">
        <v>123000</v>
      </c>
      <c r="AW46">
        <v>159000</v>
      </c>
      <c r="AX46">
        <v>87000</v>
      </c>
      <c r="AY46">
        <v>78000</v>
      </c>
      <c r="AZ46">
        <v>104000</v>
      </c>
    </row>
    <row r="47" spans="1:52" x14ac:dyDescent="0.25">
      <c r="A47" t="s">
        <v>198</v>
      </c>
      <c r="B47" s="44" t="s">
        <v>264</v>
      </c>
      <c r="C47" s="44" t="s">
        <v>207</v>
      </c>
      <c r="D47">
        <v>1800</v>
      </c>
      <c r="E47">
        <v>200</v>
      </c>
      <c r="F47">
        <v>350</v>
      </c>
      <c r="G47">
        <v>7000</v>
      </c>
      <c r="H47">
        <v>200</v>
      </c>
      <c r="I47">
        <v>4000</v>
      </c>
      <c r="J47">
        <v>551</v>
      </c>
      <c r="K47">
        <v>200</v>
      </c>
      <c r="L47">
        <v>200</v>
      </c>
      <c r="M47">
        <v>4455</v>
      </c>
      <c r="N47">
        <v>615</v>
      </c>
      <c r="O47">
        <v>1000</v>
      </c>
      <c r="P47">
        <v>100</v>
      </c>
      <c r="Q47">
        <v>1500</v>
      </c>
      <c r="R47">
        <v>500</v>
      </c>
      <c r="S47">
        <v>2000</v>
      </c>
      <c r="T47">
        <v>5000</v>
      </c>
      <c r="U47">
        <v>30000</v>
      </c>
      <c r="V47">
        <v>3500</v>
      </c>
      <c r="W47">
        <v>4000</v>
      </c>
      <c r="X47">
        <v>1500</v>
      </c>
      <c r="Y47">
        <v>7500</v>
      </c>
      <c r="Z47">
        <v>12000</v>
      </c>
      <c r="AA47">
        <v>8000</v>
      </c>
      <c r="AB47">
        <v>20000</v>
      </c>
      <c r="AC47">
        <v>16000</v>
      </c>
      <c r="AD47">
        <v>4000</v>
      </c>
      <c r="AE47">
        <v>7000</v>
      </c>
      <c r="AF47">
        <v>1768</v>
      </c>
      <c r="AG47">
        <v>800</v>
      </c>
      <c r="AH47">
        <v>50</v>
      </c>
      <c r="AI47">
        <v>7000</v>
      </c>
      <c r="AJ47">
        <v>5569</v>
      </c>
      <c r="AK47">
        <v>2000</v>
      </c>
      <c r="AL47">
        <v>9000</v>
      </c>
      <c r="AM47">
        <v>9000</v>
      </c>
      <c r="AN47">
        <v>25000</v>
      </c>
      <c r="AO47">
        <v>32000</v>
      </c>
      <c r="AP47">
        <v>11000</v>
      </c>
      <c r="AQ47">
        <v>40000</v>
      </c>
      <c r="AR47">
        <v>20000</v>
      </c>
      <c r="AS47">
        <v>31000</v>
      </c>
      <c r="AT47">
        <v>18000</v>
      </c>
      <c r="AU47">
        <v>35000</v>
      </c>
      <c r="AV47">
        <v>50000</v>
      </c>
      <c r="AW47">
        <v>46000</v>
      </c>
      <c r="AX47">
        <v>47000</v>
      </c>
      <c r="AY47">
        <v>28000</v>
      </c>
      <c r="AZ47">
        <v>48000</v>
      </c>
    </row>
    <row r="48" spans="1:52" x14ac:dyDescent="0.25">
      <c r="A48" t="s">
        <v>198</v>
      </c>
      <c r="B48" s="44" t="s">
        <v>265</v>
      </c>
      <c r="C48" s="44" t="s">
        <v>208</v>
      </c>
      <c r="D48">
        <v>400</v>
      </c>
      <c r="E48">
        <v>12000</v>
      </c>
      <c r="F48">
        <v>1500</v>
      </c>
      <c r="G48">
        <v>4500</v>
      </c>
      <c r="H48">
        <v>400</v>
      </c>
      <c r="I48">
        <v>2500</v>
      </c>
      <c r="J48">
        <v>2000</v>
      </c>
      <c r="K48">
        <v>2000</v>
      </c>
      <c r="L48">
        <v>500</v>
      </c>
      <c r="M48">
        <v>5000</v>
      </c>
      <c r="N48">
        <v>1000</v>
      </c>
      <c r="O48">
        <v>5200</v>
      </c>
      <c r="P48">
        <v>300</v>
      </c>
      <c r="Q48">
        <v>34000</v>
      </c>
      <c r="R48">
        <v>1000</v>
      </c>
      <c r="S48">
        <v>40000</v>
      </c>
      <c r="T48">
        <v>500</v>
      </c>
      <c r="U48">
        <v>120000</v>
      </c>
      <c r="V48">
        <v>6000</v>
      </c>
      <c r="W48">
        <v>100000</v>
      </c>
      <c r="X48">
        <v>400</v>
      </c>
      <c r="Y48">
        <v>32000</v>
      </c>
      <c r="Z48">
        <v>3400</v>
      </c>
      <c r="AA48">
        <v>21000</v>
      </c>
      <c r="AB48">
        <v>30000</v>
      </c>
      <c r="AC48">
        <v>38000</v>
      </c>
      <c r="AD48">
        <v>2000</v>
      </c>
      <c r="AE48">
        <v>33000</v>
      </c>
      <c r="AF48">
        <v>8735</v>
      </c>
      <c r="AG48">
        <v>500</v>
      </c>
      <c r="AH48">
        <v>15607</v>
      </c>
      <c r="AI48">
        <v>37747</v>
      </c>
      <c r="AJ48">
        <v>27518</v>
      </c>
      <c r="AK48">
        <v>500</v>
      </c>
      <c r="AL48">
        <v>19000</v>
      </c>
      <c r="AM48">
        <v>70717</v>
      </c>
      <c r="AN48">
        <v>43000</v>
      </c>
      <c r="AO48">
        <v>125000</v>
      </c>
      <c r="AP48">
        <v>180000</v>
      </c>
      <c r="AQ48">
        <v>360000</v>
      </c>
      <c r="AR48">
        <v>21000</v>
      </c>
      <c r="AS48">
        <v>68000</v>
      </c>
      <c r="AT48">
        <v>151000</v>
      </c>
      <c r="AU48">
        <v>210000</v>
      </c>
      <c r="AV48">
        <v>158000</v>
      </c>
      <c r="AW48">
        <v>545000</v>
      </c>
      <c r="AX48">
        <v>110000</v>
      </c>
      <c r="AY48">
        <v>124000</v>
      </c>
      <c r="AZ48">
        <v>120000</v>
      </c>
    </row>
    <row r="49" spans="1:52" x14ac:dyDescent="0.25">
      <c r="A49" t="s">
        <v>198</v>
      </c>
      <c r="B49" s="44" t="s">
        <v>266</v>
      </c>
      <c r="C49" s="44" t="s">
        <v>209</v>
      </c>
      <c r="D49">
        <v>8225</v>
      </c>
      <c r="E49">
        <v>11000</v>
      </c>
      <c r="F49">
        <v>4300</v>
      </c>
      <c r="G49">
        <v>35000</v>
      </c>
      <c r="H49">
        <v>3000</v>
      </c>
      <c r="I49">
        <v>11300</v>
      </c>
      <c r="J49">
        <v>2000</v>
      </c>
      <c r="K49">
        <v>20000</v>
      </c>
      <c r="L49">
        <v>100</v>
      </c>
      <c r="M49">
        <v>25000</v>
      </c>
      <c r="N49">
        <v>500</v>
      </c>
      <c r="O49">
        <v>21000</v>
      </c>
      <c r="P49">
        <v>1200</v>
      </c>
      <c r="Q49">
        <v>55000</v>
      </c>
      <c r="R49">
        <v>5000</v>
      </c>
      <c r="S49">
        <v>50000</v>
      </c>
      <c r="T49">
        <v>3000</v>
      </c>
      <c r="U49">
        <v>125000</v>
      </c>
      <c r="V49">
        <v>8000</v>
      </c>
      <c r="W49">
        <v>155000</v>
      </c>
      <c r="X49">
        <v>4000</v>
      </c>
      <c r="Y49">
        <v>90000</v>
      </c>
      <c r="Z49">
        <v>27000</v>
      </c>
      <c r="AA49">
        <v>101000</v>
      </c>
      <c r="AB49">
        <v>20000</v>
      </c>
      <c r="AC49">
        <v>100000</v>
      </c>
      <c r="AD49">
        <v>28000</v>
      </c>
      <c r="AE49">
        <v>30000</v>
      </c>
      <c r="AF49">
        <v>9976</v>
      </c>
      <c r="AG49">
        <v>1000</v>
      </c>
      <c r="AH49">
        <v>3000</v>
      </c>
      <c r="AI49">
        <v>8000</v>
      </c>
      <c r="AJ49">
        <v>1000</v>
      </c>
      <c r="AK49">
        <v>1500</v>
      </c>
      <c r="AL49">
        <v>54000</v>
      </c>
      <c r="AM49">
        <v>22000</v>
      </c>
      <c r="AN49">
        <v>110000</v>
      </c>
      <c r="AO49">
        <v>180000</v>
      </c>
      <c r="AP49">
        <v>320000</v>
      </c>
      <c r="AQ49">
        <v>436000</v>
      </c>
      <c r="AR49">
        <v>29000</v>
      </c>
      <c r="AS49">
        <v>162000</v>
      </c>
      <c r="AT49">
        <v>121000</v>
      </c>
      <c r="AU49">
        <v>345000</v>
      </c>
      <c r="AV49">
        <v>118000</v>
      </c>
      <c r="AW49">
        <v>128000</v>
      </c>
      <c r="AX49">
        <v>128000</v>
      </c>
      <c r="AY49">
        <v>47000</v>
      </c>
      <c r="AZ49">
        <v>94000</v>
      </c>
    </row>
    <row r="50" spans="1:52" x14ac:dyDescent="0.25">
      <c r="A50" t="s">
        <v>210</v>
      </c>
      <c r="B50" s="44" t="s">
        <v>267</v>
      </c>
      <c r="C50" s="44" t="s">
        <v>211</v>
      </c>
      <c r="D50">
        <v>754</v>
      </c>
      <c r="E50">
        <v>1918</v>
      </c>
      <c r="F50">
        <v>2000</v>
      </c>
      <c r="G50">
        <v>4000</v>
      </c>
      <c r="H50">
        <v>2000</v>
      </c>
      <c r="I50">
        <v>500</v>
      </c>
      <c r="J50">
        <v>200</v>
      </c>
      <c r="K50">
        <v>1000</v>
      </c>
      <c r="L50">
        <v>200</v>
      </c>
      <c r="M50">
        <v>2306</v>
      </c>
      <c r="N50">
        <v>318</v>
      </c>
      <c r="O50">
        <v>1258</v>
      </c>
      <c r="P50">
        <v>400</v>
      </c>
      <c r="Q50">
        <v>5000</v>
      </c>
      <c r="R50">
        <v>1500</v>
      </c>
      <c r="S50">
        <v>5000</v>
      </c>
      <c r="T50">
        <v>2000</v>
      </c>
      <c r="U50">
        <v>12000</v>
      </c>
      <c r="V50">
        <v>2500</v>
      </c>
      <c r="W50">
        <v>15000</v>
      </c>
      <c r="X50">
        <v>1162</v>
      </c>
      <c r="Y50">
        <v>8000</v>
      </c>
      <c r="Z50">
        <v>21000</v>
      </c>
      <c r="AA50">
        <v>10000</v>
      </c>
      <c r="AB50">
        <v>15000</v>
      </c>
      <c r="AC50">
        <v>13000</v>
      </c>
      <c r="AD50">
        <v>1814</v>
      </c>
      <c r="AE50">
        <v>1200</v>
      </c>
      <c r="AF50">
        <v>915</v>
      </c>
      <c r="AG50">
        <v>2418</v>
      </c>
      <c r="AH50">
        <v>1500</v>
      </c>
      <c r="AI50">
        <v>6000</v>
      </c>
      <c r="AJ50">
        <v>2882</v>
      </c>
      <c r="AK50">
        <v>7000</v>
      </c>
      <c r="AL50">
        <v>5000</v>
      </c>
      <c r="AM50">
        <v>7407</v>
      </c>
      <c r="AN50">
        <v>13000</v>
      </c>
      <c r="AO50">
        <v>2000</v>
      </c>
      <c r="AP50">
        <v>3000</v>
      </c>
      <c r="AQ50">
        <v>11000</v>
      </c>
      <c r="AR50">
        <v>8400</v>
      </c>
      <c r="AS50">
        <v>13001</v>
      </c>
      <c r="AT50">
        <v>10000</v>
      </c>
      <c r="AU50">
        <v>12000</v>
      </c>
      <c r="AV50">
        <v>16000</v>
      </c>
      <c r="AW50">
        <v>25000</v>
      </c>
      <c r="AX50">
        <v>5000</v>
      </c>
      <c r="AY50">
        <v>8000</v>
      </c>
      <c r="AZ50">
        <v>6000</v>
      </c>
    </row>
    <row r="51" spans="1:52" x14ac:dyDescent="0.25">
      <c r="A51" t="s">
        <v>210</v>
      </c>
      <c r="B51" s="44" t="s">
        <v>268</v>
      </c>
      <c r="C51" s="44" t="s">
        <v>212</v>
      </c>
      <c r="D51">
        <v>1555</v>
      </c>
      <c r="E51">
        <v>3952</v>
      </c>
      <c r="F51">
        <v>200</v>
      </c>
      <c r="G51">
        <v>900</v>
      </c>
      <c r="H51">
        <v>2500</v>
      </c>
      <c r="I51">
        <v>4283</v>
      </c>
      <c r="J51">
        <v>587</v>
      </c>
      <c r="K51">
        <v>1500</v>
      </c>
      <c r="L51">
        <v>300</v>
      </c>
      <c r="M51">
        <v>4752</v>
      </c>
      <c r="N51">
        <v>250</v>
      </c>
      <c r="O51">
        <v>2592</v>
      </c>
      <c r="P51">
        <v>500</v>
      </c>
      <c r="Q51">
        <v>500</v>
      </c>
      <c r="R51">
        <v>2125</v>
      </c>
      <c r="S51">
        <v>6000</v>
      </c>
      <c r="T51">
        <v>2000</v>
      </c>
      <c r="U51">
        <v>12000</v>
      </c>
      <c r="V51">
        <v>6500</v>
      </c>
      <c r="W51">
        <v>8500</v>
      </c>
      <c r="X51">
        <v>5500</v>
      </c>
      <c r="Y51">
        <v>35000</v>
      </c>
      <c r="Z51">
        <v>37000</v>
      </c>
      <c r="AA51">
        <v>18000</v>
      </c>
      <c r="AB51">
        <v>40000</v>
      </c>
      <c r="AC51">
        <v>17000</v>
      </c>
      <c r="AD51">
        <v>1700</v>
      </c>
      <c r="AE51">
        <v>1000</v>
      </c>
      <c r="AF51">
        <v>100</v>
      </c>
      <c r="AG51">
        <v>500</v>
      </c>
      <c r="AH51">
        <v>1000</v>
      </c>
      <c r="AI51">
        <v>7000</v>
      </c>
      <c r="AJ51">
        <v>2500</v>
      </c>
      <c r="AK51">
        <v>5000</v>
      </c>
      <c r="AL51">
        <v>2000</v>
      </c>
      <c r="AM51">
        <v>32000</v>
      </c>
      <c r="AN51">
        <v>13000</v>
      </c>
      <c r="AO51">
        <v>3000</v>
      </c>
      <c r="AP51">
        <v>5500</v>
      </c>
      <c r="AQ51">
        <v>61000</v>
      </c>
      <c r="AR51">
        <v>14000</v>
      </c>
      <c r="AS51">
        <v>12200</v>
      </c>
      <c r="AT51">
        <v>43000</v>
      </c>
      <c r="AU51">
        <v>25000</v>
      </c>
      <c r="AV51">
        <v>35300</v>
      </c>
      <c r="AW51">
        <v>55000</v>
      </c>
      <c r="AX51">
        <v>53000</v>
      </c>
      <c r="AY51">
        <v>12000</v>
      </c>
      <c r="AZ51">
        <v>8000</v>
      </c>
    </row>
    <row r="52" spans="1:52" x14ac:dyDescent="0.25">
      <c r="A52" t="s">
        <v>210</v>
      </c>
      <c r="B52" s="44" t="s">
        <v>269</v>
      </c>
      <c r="C52" s="44" t="s">
        <v>213</v>
      </c>
      <c r="D52">
        <v>588</v>
      </c>
      <c r="E52">
        <v>1495</v>
      </c>
      <c r="F52">
        <v>572</v>
      </c>
      <c r="G52">
        <v>3501</v>
      </c>
      <c r="H52">
        <v>562</v>
      </c>
      <c r="I52">
        <v>1620</v>
      </c>
      <c r="J52">
        <v>222</v>
      </c>
      <c r="K52">
        <v>854</v>
      </c>
      <c r="L52">
        <v>89</v>
      </c>
      <c r="M52">
        <v>1797</v>
      </c>
      <c r="N52">
        <v>248</v>
      </c>
      <c r="O52">
        <v>980</v>
      </c>
      <c r="P52">
        <v>523</v>
      </c>
      <c r="Q52">
        <v>1523</v>
      </c>
      <c r="R52">
        <v>804</v>
      </c>
      <c r="S52">
        <v>2154</v>
      </c>
      <c r="T52">
        <v>1115</v>
      </c>
      <c r="U52">
        <v>7295</v>
      </c>
      <c r="V52">
        <v>2500</v>
      </c>
      <c r="W52">
        <v>10000</v>
      </c>
      <c r="X52">
        <v>906</v>
      </c>
      <c r="Y52">
        <v>15000</v>
      </c>
      <c r="Z52">
        <v>11000</v>
      </c>
      <c r="AA52">
        <v>5000</v>
      </c>
      <c r="AB52">
        <v>11000</v>
      </c>
      <c r="AC52">
        <v>11500</v>
      </c>
      <c r="AD52">
        <v>1414</v>
      </c>
      <c r="AE52">
        <v>1000</v>
      </c>
      <c r="AF52">
        <v>713</v>
      </c>
      <c r="AG52">
        <v>1885</v>
      </c>
      <c r="AH52">
        <v>1200</v>
      </c>
      <c r="AI52">
        <v>800</v>
      </c>
      <c r="AJ52">
        <v>2247</v>
      </c>
      <c r="AK52">
        <v>8000</v>
      </c>
      <c r="AL52">
        <v>7000</v>
      </c>
      <c r="AM52">
        <v>5774</v>
      </c>
      <c r="AN52">
        <v>5000</v>
      </c>
      <c r="AO52">
        <v>12282</v>
      </c>
      <c r="AP52">
        <v>4000</v>
      </c>
      <c r="AQ52">
        <v>2500</v>
      </c>
      <c r="AR52">
        <v>3000</v>
      </c>
      <c r="AS52">
        <v>4000</v>
      </c>
      <c r="AT52">
        <v>9808</v>
      </c>
      <c r="AU52">
        <v>12000</v>
      </c>
      <c r="AV52">
        <v>3000</v>
      </c>
      <c r="AW52">
        <v>26000</v>
      </c>
      <c r="AX52">
        <v>16000</v>
      </c>
      <c r="AY52">
        <v>6000</v>
      </c>
      <c r="AZ52">
        <v>3500</v>
      </c>
    </row>
    <row r="53" spans="1:52" x14ac:dyDescent="0.25">
      <c r="A53" t="s">
        <v>210</v>
      </c>
      <c r="B53" s="44" t="s">
        <v>270</v>
      </c>
      <c r="C53" s="44" t="s">
        <v>214</v>
      </c>
      <c r="D53">
        <v>300</v>
      </c>
      <c r="E53">
        <v>44000</v>
      </c>
      <c r="F53">
        <v>1000</v>
      </c>
      <c r="G53">
        <v>108000</v>
      </c>
      <c r="H53">
        <v>200</v>
      </c>
      <c r="I53">
        <v>28000</v>
      </c>
      <c r="J53">
        <v>2987</v>
      </c>
      <c r="K53">
        <v>20000</v>
      </c>
      <c r="L53">
        <v>1192</v>
      </c>
      <c r="M53">
        <v>75000</v>
      </c>
      <c r="N53">
        <v>3336</v>
      </c>
      <c r="O53">
        <v>40000</v>
      </c>
      <c r="P53">
        <v>7035</v>
      </c>
      <c r="Q53">
        <v>7000</v>
      </c>
      <c r="R53">
        <v>700</v>
      </c>
      <c r="S53">
        <v>20000</v>
      </c>
      <c r="T53">
        <v>100</v>
      </c>
      <c r="U53">
        <v>100000</v>
      </c>
      <c r="V53">
        <v>1000</v>
      </c>
      <c r="W53">
        <v>130000</v>
      </c>
      <c r="X53">
        <v>12178</v>
      </c>
      <c r="Y53">
        <v>145000</v>
      </c>
      <c r="Z53">
        <v>35162</v>
      </c>
      <c r="AA53">
        <v>77000</v>
      </c>
      <c r="AB53">
        <v>1000</v>
      </c>
      <c r="AC53">
        <v>150000</v>
      </c>
      <c r="AD53">
        <v>3700</v>
      </c>
      <c r="AE53">
        <v>13000</v>
      </c>
      <c r="AF53">
        <v>5000</v>
      </c>
      <c r="AG53">
        <v>15000</v>
      </c>
      <c r="AH53">
        <v>13000</v>
      </c>
      <c r="AI53">
        <v>90000</v>
      </c>
      <c r="AJ53">
        <v>21000</v>
      </c>
      <c r="AK53">
        <v>123000</v>
      </c>
      <c r="AL53">
        <v>65000</v>
      </c>
      <c r="AM53">
        <v>253000</v>
      </c>
      <c r="AN53">
        <v>120000</v>
      </c>
      <c r="AO53">
        <v>130000</v>
      </c>
      <c r="AP53">
        <v>165000</v>
      </c>
      <c r="AQ53">
        <v>450000</v>
      </c>
      <c r="AR53">
        <v>82000</v>
      </c>
      <c r="AS53">
        <v>41000</v>
      </c>
      <c r="AT53">
        <v>110000</v>
      </c>
      <c r="AU53">
        <v>84000</v>
      </c>
      <c r="AV53">
        <v>57000</v>
      </c>
      <c r="AW53">
        <v>67000</v>
      </c>
      <c r="AX53">
        <v>56000</v>
      </c>
      <c r="AY53">
        <v>71000</v>
      </c>
      <c r="AZ53">
        <v>22000</v>
      </c>
    </row>
    <row r="54" spans="1:52" x14ac:dyDescent="0.25">
      <c r="A54" t="s">
        <v>210</v>
      </c>
      <c r="B54" s="44" t="s">
        <v>271</v>
      </c>
      <c r="C54" s="44" t="s">
        <v>215</v>
      </c>
      <c r="D54">
        <v>7826</v>
      </c>
      <c r="E54">
        <v>19897</v>
      </c>
      <c r="F54">
        <v>12000</v>
      </c>
      <c r="G54">
        <v>100000</v>
      </c>
      <c r="H54">
        <v>12000</v>
      </c>
      <c r="I54">
        <v>12000</v>
      </c>
      <c r="J54">
        <v>3000</v>
      </c>
      <c r="K54">
        <v>13000</v>
      </c>
      <c r="L54">
        <v>2500</v>
      </c>
      <c r="M54">
        <v>22000</v>
      </c>
      <c r="N54">
        <v>8000</v>
      </c>
      <c r="O54">
        <v>10000</v>
      </c>
      <c r="P54">
        <v>3800</v>
      </c>
      <c r="Q54">
        <v>5500</v>
      </c>
      <c r="R54">
        <v>6000</v>
      </c>
      <c r="S54">
        <v>30000</v>
      </c>
      <c r="T54">
        <v>14000</v>
      </c>
      <c r="U54">
        <v>105000</v>
      </c>
      <c r="V54">
        <v>47000</v>
      </c>
      <c r="W54">
        <v>125000</v>
      </c>
      <c r="X54">
        <v>11900</v>
      </c>
      <c r="Y54">
        <v>130000</v>
      </c>
      <c r="Z54">
        <v>50000</v>
      </c>
      <c r="AA54">
        <v>62000</v>
      </c>
      <c r="AB54">
        <v>69000</v>
      </c>
      <c r="AC54">
        <v>110000</v>
      </c>
      <c r="AD54">
        <v>23000</v>
      </c>
      <c r="AE54">
        <v>10000</v>
      </c>
      <c r="AF54">
        <v>17000</v>
      </c>
      <c r="AG54">
        <v>13000</v>
      </c>
      <c r="AH54">
        <v>21000</v>
      </c>
      <c r="AI54">
        <v>43000</v>
      </c>
      <c r="AJ54">
        <v>9000</v>
      </c>
      <c r="AK54">
        <v>25000</v>
      </c>
      <c r="AL54">
        <v>35000</v>
      </c>
      <c r="AM54">
        <v>39000</v>
      </c>
      <c r="AN54">
        <v>55000</v>
      </c>
      <c r="AO54">
        <v>74000</v>
      </c>
      <c r="AP54">
        <v>72000</v>
      </c>
      <c r="AQ54">
        <v>655000</v>
      </c>
      <c r="AR54">
        <v>108000</v>
      </c>
      <c r="AS54">
        <v>31000</v>
      </c>
      <c r="AT54">
        <v>95000</v>
      </c>
      <c r="AU54">
        <v>175000</v>
      </c>
      <c r="AV54">
        <v>168000</v>
      </c>
      <c r="AW54">
        <v>194000</v>
      </c>
      <c r="AX54">
        <v>71000</v>
      </c>
      <c r="AY54">
        <v>90000</v>
      </c>
      <c r="AZ54">
        <v>58000</v>
      </c>
    </row>
    <row r="55" spans="1:52" x14ac:dyDescent="0.25">
      <c r="A55" t="s">
        <v>210</v>
      </c>
      <c r="B55" s="44" t="s">
        <v>272</v>
      </c>
      <c r="C55" s="44" t="s">
        <v>216</v>
      </c>
      <c r="D55">
        <v>3054</v>
      </c>
      <c r="E55">
        <v>7764</v>
      </c>
      <c r="F55">
        <v>500</v>
      </c>
      <c r="G55">
        <v>13000</v>
      </c>
      <c r="H55">
        <v>300</v>
      </c>
      <c r="I55">
        <v>8414</v>
      </c>
      <c r="J55">
        <v>1154</v>
      </c>
      <c r="K55">
        <v>1000</v>
      </c>
      <c r="L55">
        <v>460</v>
      </c>
      <c r="M55">
        <v>9336</v>
      </c>
      <c r="N55">
        <v>1289</v>
      </c>
      <c r="O55">
        <v>2000</v>
      </c>
      <c r="P55">
        <v>2718</v>
      </c>
      <c r="Q55">
        <v>200</v>
      </c>
      <c r="R55">
        <v>4174</v>
      </c>
      <c r="S55">
        <v>11187</v>
      </c>
      <c r="T55">
        <v>5793</v>
      </c>
      <c r="U55">
        <v>4000</v>
      </c>
      <c r="V55">
        <v>3000</v>
      </c>
      <c r="W55">
        <v>20000</v>
      </c>
      <c r="X55">
        <v>400</v>
      </c>
      <c r="Y55">
        <v>31000</v>
      </c>
      <c r="Z55">
        <v>13584</v>
      </c>
      <c r="AA55">
        <v>17000</v>
      </c>
      <c r="AB55">
        <v>17000</v>
      </c>
      <c r="AC55">
        <v>95000</v>
      </c>
      <c r="AD55">
        <v>4000</v>
      </c>
      <c r="AE55">
        <v>9361</v>
      </c>
      <c r="AF55">
        <v>1000</v>
      </c>
      <c r="AG55">
        <v>500</v>
      </c>
      <c r="AH55">
        <v>6618</v>
      </c>
      <c r="AI55">
        <v>13000</v>
      </c>
      <c r="AJ55">
        <v>500</v>
      </c>
      <c r="AK55">
        <v>4000</v>
      </c>
      <c r="AL55">
        <v>10000</v>
      </c>
      <c r="AM55">
        <v>29988</v>
      </c>
      <c r="AN55">
        <v>20000</v>
      </c>
      <c r="AO55">
        <v>15000</v>
      </c>
      <c r="AP55">
        <v>34000</v>
      </c>
      <c r="AQ55">
        <v>250000</v>
      </c>
      <c r="AR55">
        <v>19000</v>
      </c>
      <c r="AS55">
        <v>39000</v>
      </c>
      <c r="AT55">
        <v>83000</v>
      </c>
      <c r="AU55">
        <v>118000</v>
      </c>
      <c r="AV55">
        <v>52000</v>
      </c>
      <c r="AW55">
        <v>87000</v>
      </c>
      <c r="AX55">
        <v>51000</v>
      </c>
      <c r="AY55">
        <v>56000</v>
      </c>
      <c r="AZ55">
        <v>43000</v>
      </c>
    </row>
    <row r="56" spans="1:52" x14ac:dyDescent="0.25">
      <c r="A56" t="s">
        <v>210</v>
      </c>
      <c r="B56" s="44" t="s">
        <v>273</v>
      </c>
      <c r="C56" s="44" t="s">
        <v>217</v>
      </c>
      <c r="D56">
        <v>945</v>
      </c>
      <c r="E56">
        <v>2402</v>
      </c>
      <c r="F56">
        <v>919</v>
      </c>
      <c r="G56">
        <v>5627</v>
      </c>
      <c r="H56">
        <v>903</v>
      </c>
      <c r="I56">
        <v>2603</v>
      </c>
      <c r="J56">
        <v>357</v>
      </c>
      <c r="K56">
        <v>1373</v>
      </c>
      <c r="L56">
        <v>142</v>
      </c>
      <c r="M56">
        <v>2889</v>
      </c>
      <c r="N56">
        <v>399</v>
      </c>
      <c r="O56">
        <v>1576</v>
      </c>
      <c r="P56">
        <v>841</v>
      </c>
      <c r="Q56">
        <v>2448</v>
      </c>
      <c r="R56">
        <v>1291</v>
      </c>
      <c r="S56">
        <v>3461</v>
      </c>
      <c r="T56">
        <v>1792</v>
      </c>
      <c r="U56">
        <v>11725</v>
      </c>
      <c r="V56">
        <v>2182</v>
      </c>
      <c r="W56">
        <v>11147</v>
      </c>
      <c r="X56">
        <v>9500</v>
      </c>
      <c r="Y56">
        <v>2000</v>
      </c>
      <c r="Z56">
        <v>30000</v>
      </c>
      <c r="AA56">
        <v>6000</v>
      </c>
      <c r="AB56">
        <v>10000</v>
      </c>
      <c r="AC56">
        <v>8000</v>
      </c>
      <c r="AD56">
        <v>1500</v>
      </c>
      <c r="AE56">
        <v>200</v>
      </c>
      <c r="AF56">
        <v>1146</v>
      </c>
      <c r="AG56">
        <v>1300</v>
      </c>
      <c r="AH56">
        <v>2000</v>
      </c>
      <c r="AI56">
        <v>6000</v>
      </c>
      <c r="AJ56">
        <v>2500</v>
      </c>
      <c r="AK56">
        <v>3800</v>
      </c>
      <c r="AL56">
        <v>7000</v>
      </c>
      <c r="AM56">
        <v>21000</v>
      </c>
      <c r="AN56">
        <v>7000</v>
      </c>
      <c r="AO56">
        <v>9000</v>
      </c>
      <c r="AP56">
        <v>16000</v>
      </c>
      <c r="AQ56">
        <v>13000</v>
      </c>
      <c r="AR56">
        <v>10000</v>
      </c>
      <c r="AS56">
        <v>14000</v>
      </c>
      <c r="AT56">
        <v>20000</v>
      </c>
      <c r="AU56">
        <v>25000</v>
      </c>
      <c r="AV56">
        <v>14000</v>
      </c>
      <c r="AW56">
        <v>36000</v>
      </c>
      <c r="AX56">
        <v>27000</v>
      </c>
      <c r="AY56">
        <v>6000</v>
      </c>
      <c r="AZ56">
        <v>7000</v>
      </c>
    </row>
    <row r="57" spans="1:52" x14ac:dyDescent="0.25">
      <c r="A57" t="s">
        <v>210</v>
      </c>
      <c r="B57" s="44" t="s">
        <v>274</v>
      </c>
      <c r="C57" s="44" t="s">
        <v>218</v>
      </c>
      <c r="D57">
        <v>750</v>
      </c>
      <c r="E57">
        <v>6200</v>
      </c>
      <c r="F57">
        <v>1585</v>
      </c>
      <c r="G57">
        <v>10000</v>
      </c>
      <c r="H57">
        <v>1000</v>
      </c>
      <c r="I57">
        <v>1500</v>
      </c>
      <c r="J57">
        <v>500</v>
      </c>
      <c r="K57">
        <v>500</v>
      </c>
      <c r="L57">
        <v>246</v>
      </c>
      <c r="M57">
        <v>4983</v>
      </c>
      <c r="N57">
        <v>688</v>
      </c>
      <c r="O57">
        <v>500</v>
      </c>
      <c r="P57">
        <v>500</v>
      </c>
      <c r="Q57">
        <v>7000</v>
      </c>
      <c r="R57">
        <v>1000</v>
      </c>
      <c r="S57">
        <v>10000</v>
      </c>
      <c r="T57">
        <v>3000</v>
      </c>
      <c r="U57">
        <v>30000</v>
      </c>
      <c r="V57">
        <v>15000</v>
      </c>
      <c r="W57">
        <v>12000</v>
      </c>
      <c r="X57">
        <v>5000</v>
      </c>
      <c r="Y57">
        <v>25000</v>
      </c>
      <c r="Z57">
        <v>23000</v>
      </c>
      <c r="AA57">
        <v>23000</v>
      </c>
      <c r="AB57">
        <v>15000</v>
      </c>
      <c r="AC57">
        <v>45000</v>
      </c>
      <c r="AD57">
        <v>4000</v>
      </c>
      <c r="AE57">
        <v>600</v>
      </c>
      <c r="AF57">
        <v>1000</v>
      </c>
      <c r="AG57">
        <v>2300</v>
      </c>
      <c r="AH57">
        <v>10000</v>
      </c>
      <c r="AI57">
        <v>9500</v>
      </c>
      <c r="AJ57">
        <v>1000</v>
      </c>
      <c r="AK57">
        <v>9000</v>
      </c>
      <c r="AL57">
        <v>13000</v>
      </c>
      <c r="AM57">
        <v>16006</v>
      </c>
      <c r="AN57">
        <v>22000</v>
      </c>
      <c r="AO57">
        <v>26000</v>
      </c>
      <c r="AP57">
        <v>11500</v>
      </c>
      <c r="AQ57">
        <v>30000</v>
      </c>
      <c r="AR57">
        <v>11500</v>
      </c>
      <c r="AS57">
        <v>22000</v>
      </c>
      <c r="AT57">
        <v>17000</v>
      </c>
      <c r="AU57">
        <v>25000</v>
      </c>
      <c r="AV57">
        <v>30500</v>
      </c>
      <c r="AW57">
        <v>45000</v>
      </c>
      <c r="AX57">
        <v>25000</v>
      </c>
      <c r="AY57">
        <v>53000</v>
      </c>
      <c r="AZ57">
        <v>39000</v>
      </c>
    </row>
    <row r="58" spans="1:52" x14ac:dyDescent="0.25">
      <c r="A58" t="s">
        <v>219</v>
      </c>
      <c r="B58" s="44" t="s">
        <v>275</v>
      </c>
      <c r="C58" s="44" t="s">
        <v>220</v>
      </c>
      <c r="D58">
        <v>15000</v>
      </c>
      <c r="E58">
        <v>4500</v>
      </c>
      <c r="F58">
        <v>13200</v>
      </c>
      <c r="G58">
        <v>12000</v>
      </c>
      <c r="H58">
        <v>9000</v>
      </c>
      <c r="I58">
        <v>22000</v>
      </c>
      <c r="J58">
        <v>1241</v>
      </c>
      <c r="K58">
        <v>4772</v>
      </c>
      <c r="L58">
        <v>500</v>
      </c>
      <c r="M58">
        <v>2000</v>
      </c>
      <c r="N58">
        <v>1386</v>
      </c>
      <c r="O58">
        <v>500</v>
      </c>
      <c r="P58">
        <v>2923</v>
      </c>
      <c r="Q58">
        <v>1000</v>
      </c>
      <c r="R58">
        <v>1500</v>
      </c>
      <c r="S58">
        <v>2500</v>
      </c>
      <c r="T58">
        <v>500</v>
      </c>
      <c r="U58">
        <v>15200</v>
      </c>
      <c r="V58">
        <v>1100</v>
      </c>
      <c r="W58">
        <v>30000</v>
      </c>
      <c r="X58">
        <v>5000</v>
      </c>
      <c r="Y58">
        <v>10500</v>
      </c>
      <c r="Z58">
        <v>5000</v>
      </c>
      <c r="AA58">
        <v>10000</v>
      </c>
      <c r="AB58">
        <v>17000</v>
      </c>
      <c r="AC58">
        <v>14000</v>
      </c>
      <c r="AD58">
        <v>1500</v>
      </c>
      <c r="AE58">
        <v>36000</v>
      </c>
      <c r="AF58">
        <v>6000</v>
      </c>
      <c r="AG58">
        <v>21000</v>
      </c>
      <c r="AH58">
        <v>35000</v>
      </c>
      <c r="AI58">
        <v>24000</v>
      </c>
      <c r="AJ58">
        <v>37000</v>
      </c>
      <c r="AK58">
        <v>5000</v>
      </c>
      <c r="AL58">
        <v>170000</v>
      </c>
      <c r="AM58">
        <v>25000</v>
      </c>
      <c r="AN58">
        <v>34000</v>
      </c>
      <c r="AO58">
        <v>45000</v>
      </c>
      <c r="AP58">
        <v>50000</v>
      </c>
      <c r="AQ58">
        <v>200000</v>
      </c>
      <c r="AR58">
        <v>36577</v>
      </c>
      <c r="AS58">
        <v>81000</v>
      </c>
      <c r="AT58">
        <v>54794</v>
      </c>
      <c r="AU58">
        <v>40000</v>
      </c>
      <c r="AV58">
        <v>35000</v>
      </c>
      <c r="AW58">
        <v>75000</v>
      </c>
      <c r="AX58">
        <v>32000</v>
      </c>
      <c r="AY58">
        <v>19000</v>
      </c>
      <c r="AZ58">
        <v>45000</v>
      </c>
    </row>
    <row r="59" spans="1:52" x14ac:dyDescent="0.25">
      <c r="A59" t="s">
        <v>219</v>
      </c>
      <c r="B59" s="44" t="s">
        <v>276</v>
      </c>
      <c r="C59" s="44" t="s">
        <v>221</v>
      </c>
      <c r="D59">
        <v>22000</v>
      </c>
      <c r="E59">
        <v>6300</v>
      </c>
      <c r="F59">
        <v>4582</v>
      </c>
      <c r="G59">
        <v>40000</v>
      </c>
      <c r="H59">
        <v>10000</v>
      </c>
      <c r="I59">
        <v>10000</v>
      </c>
      <c r="J59">
        <v>3000</v>
      </c>
      <c r="K59">
        <v>15000</v>
      </c>
      <c r="L59">
        <v>500</v>
      </c>
      <c r="M59">
        <v>14409</v>
      </c>
      <c r="N59">
        <v>1989</v>
      </c>
      <c r="O59">
        <v>7859</v>
      </c>
      <c r="P59">
        <v>4195</v>
      </c>
      <c r="Q59">
        <v>20000</v>
      </c>
      <c r="R59">
        <v>6442</v>
      </c>
      <c r="S59">
        <v>17266</v>
      </c>
      <c r="T59">
        <v>8940</v>
      </c>
      <c r="U59">
        <v>12000</v>
      </c>
      <c r="V59">
        <v>10882</v>
      </c>
      <c r="W59">
        <v>80000</v>
      </c>
      <c r="X59">
        <v>2200</v>
      </c>
      <c r="Y59">
        <v>35000</v>
      </c>
      <c r="Z59">
        <v>10000</v>
      </c>
      <c r="AA59">
        <v>25000</v>
      </c>
      <c r="AB59">
        <v>6000</v>
      </c>
      <c r="AC59">
        <v>25000</v>
      </c>
      <c r="AD59">
        <v>11335</v>
      </c>
      <c r="AE59">
        <v>18000</v>
      </c>
      <c r="AF59">
        <v>10000</v>
      </c>
      <c r="AG59">
        <v>65500</v>
      </c>
      <c r="AH59">
        <v>21000</v>
      </c>
      <c r="AI59">
        <v>35000</v>
      </c>
      <c r="AJ59">
        <v>18010</v>
      </c>
      <c r="AK59">
        <v>13000</v>
      </c>
      <c r="AL59">
        <v>74000</v>
      </c>
      <c r="AM59">
        <v>51000</v>
      </c>
      <c r="AN59">
        <v>30000</v>
      </c>
      <c r="AO59">
        <v>266000</v>
      </c>
      <c r="AP59">
        <v>30000</v>
      </c>
      <c r="AQ59">
        <v>80000</v>
      </c>
      <c r="AR59">
        <v>52487</v>
      </c>
      <c r="AS59">
        <v>106000</v>
      </c>
      <c r="AT59">
        <v>78628</v>
      </c>
      <c r="AU59">
        <v>200000</v>
      </c>
      <c r="AV59">
        <v>34000</v>
      </c>
      <c r="AW59">
        <v>90000</v>
      </c>
      <c r="AX59">
        <v>44000</v>
      </c>
      <c r="AY59">
        <v>89000</v>
      </c>
      <c r="AZ59">
        <v>57000</v>
      </c>
    </row>
    <row r="60" spans="1:52" x14ac:dyDescent="0.25">
      <c r="A60" t="s">
        <v>219</v>
      </c>
      <c r="B60" s="44" t="s">
        <v>132</v>
      </c>
      <c r="C60" s="44" t="s">
        <v>222</v>
      </c>
      <c r="D60">
        <v>1000</v>
      </c>
      <c r="E60">
        <v>16252</v>
      </c>
      <c r="F60">
        <v>2800</v>
      </c>
      <c r="G60">
        <v>10000</v>
      </c>
      <c r="H60">
        <v>1000</v>
      </c>
      <c r="I60">
        <v>17612</v>
      </c>
      <c r="J60">
        <v>2415</v>
      </c>
      <c r="K60">
        <v>1000</v>
      </c>
      <c r="L60">
        <v>964</v>
      </c>
      <c r="M60">
        <v>19542</v>
      </c>
      <c r="N60">
        <v>2698</v>
      </c>
      <c r="O60">
        <v>5000</v>
      </c>
      <c r="P60">
        <v>200</v>
      </c>
      <c r="Q60">
        <v>12000</v>
      </c>
      <c r="R60">
        <v>20000</v>
      </c>
      <c r="S60">
        <v>25000</v>
      </c>
      <c r="T60">
        <v>20000</v>
      </c>
      <c r="U60">
        <v>40000</v>
      </c>
      <c r="V60">
        <v>10000</v>
      </c>
      <c r="W60">
        <v>35000</v>
      </c>
      <c r="X60">
        <v>300</v>
      </c>
      <c r="Y60">
        <v>34000</v>
      </c>
      <c r="Z60">
        <v>4500</v>
      </c>
      <c r="AA60">
        <v>57374</v>
      </c>
      <c r="AB60">
        <v>19000</v>
      </c>
      <c r="AC60">
        <v>81746</v>
      </c>
      <c r="AD60">
        <v>5000</v>
      </c>
      <c r="AE60">
        <v>19595</v>
      </c>
      <c r="AF60">
        <v>4000</v>
      </c>
      <c r="AG60">
        <v>45000</v>
      </c>
      <c r="AH60">
        <v>6000</v>
      </c>
      <c r="AI60">
        <v>47000</v>
      </c>
      <c r="AJ60">
        <v>24425</v>
      </c>
      <c r="AK60">
        <v>19898</v>
      </c>
      <c r="AL60">
        <v>66000</v>
      </c>
      <c r="AM60">
        <v>90000</v>
      </c>
      <c r="AN60">
        <v>60000</v>
      </c>
      <c r="AO60">
        <v>24000</v>
      </c>
      <c r="AP60">
        <v>113242</v>
      </c>
      <c r="AQ60">
        <v>510000</v>
      </c>
      <c r="AR60">
        <v>151000</v>
      </c>
      <c r="AS60">
        <v>180000</v>
      </c>
      <c r="AT60">
        <v>106634</v>
      </c>
      <c r="AU60">
        <v>175000</v>
      </c>
      <c r="AV60">
        <v>81000</v>
      </c>
      <c r="AW60">
        <v>131000</v>
      </c>
      <c r="AX60">
        <v>71000</v>
      </c>
      <c r="AY60">
        <v>93000</v>
      </c>
      <c r="AZ60">
        <v>83000</v>
      </c>
    </row>
    <row r="61" spans="1:52" x14ac:dyDescent="0.25">
      <c r="A61" t="s">
        <v>219</v>
      </c>
      <c r="B61" s="44" t="s">
        <v>277</v>
      </c>
      <c r="C61" s="44" t="s">
        <v>223</v>
      </c>
      <c r="D61">
        <v>500</v>
      </c>
      <c r="E61">
        <v>1000</v>
      </c>
      <c r="F61">
        <v>1526</v>
      </c>
      <c r="G61">
        <v>6000</v>
      </c>
      <c r="H61">
        <v>3500</v>
      </c>
      <c r="I61">
        <v>4325</v>
      </c>
      <c r="J61">
        <v>593</v>
      </c>
      <c r="K61">
        <v>2281</v>
      </c>
      <c r="L61">
        <v>237</v>
      </c>
      <c r="M61">
        <v>4800</v>
      </c>
      <c r="N61">
        <v>663</v>
      </c>
      <c r="O61">
        <v>5000</v>
      </c>
      <c r="P61">
        <v>300</v>
      </c>
      <c r="Q61">
        <v>7000</v>
      </c>
      <c r="R61">
        <v>2146</v>
      </c>
      <c r="S61">
        <v>5751</v>
      </c>
      <c r="T61">
        <v>11000</v>
      </c>
      <c r="U61">
        <v>25000</v>
      </c>
      <c r="V61">
        <v>11000</v>
      </c>
      <c r="W61">
        <v>14000</v>
      </c>
      <c r="X61">
        <v>3000</v>
      </c>
      <c r="Y61">
        <v>7000</v>
      </c>
      <c r="Z61">
        <v>20000</v>
      </c>
      <c r="AA61">
        <v>10000</v>
      </c>
      <c r="AB61">
        <v>10000</v>
      </c>
      <c r="AC61">
        <v>10000</v>
      </c>
      <c r="AD61">
        <v>1000</v>
      </c>
      <c r="AE61">
        <v>3500</v>
      </c>
      <c r="AF61">
        <v>800</v>
      </c>
      <c r="AG61">
        <v>6500</v>
      </c>
      <c r="AH61">
        <v>4000</v>
      </c>
      <c r="AI61">
        <v>12000</v>
      </c>
      <c r="AJ61">
        <v>8000</v>
      </c>
      <c r="AK61">
        <v>4887</v>
      </c>
      <c r="AL61">
        <v>10000</v>
      </c>
      <c r="AM61">
        <v>15417</v>
      </c>
      <c r="AN61">
        <v>25000</v>
      </c>
      <c r="AO61">
        <v>44000</v>
      </c>
      <c r="AP61">
        <v>15000</v>
      </c>
      <c r="AQ61">
        <v>29000</v>
      </c>
      <c r="AR61">
        <v>40000</v>
      </c>
      <c r="AS61">
        <v>65000</v>
      </c>
      <c r="AT61">
        <v>12000</v>
      </c>
      <c r="AU61">
        <v>18000</v>
      </c>
      <c r="AV61">
        <v>13000</v>
      </c>
      <c r="AW61">
        <v>56000</v>
      </c>
      <c r="AX61">
        <v>24000</v>
      </c>
      <c r="AY61">
        <v>31000</v>
      </c>
      <c r="AZ61">
        <v>20000</v>
      </c>
    </row>
    <row r="62" spans="1:52" x14ac:dyDescent="0.25">
      <c r="A62" t="s">
        <v>219</v>
      </c>
      <c r="B62" s="44" t="s">
        <v>278</v>
      </c>
      <c r="C62" s="44" t="s">
        <v>224</v>
      </c>
      <c r="D62">
        <v>5500</v>
      </c>
      <c r="E62">
        <v>10000</v>
      </c>
      <c r="F62">
        <v>20000</v>
      </c>
      <c r="G62">
        <v>11000</v>
      </c>
      <c r="H62">
        <v>10000</v>
      </c>
      <c r="I62">
        <v>15000</v>
      </c>
      <c r="J62">
        <v>2149</v>
      </c>
      <c r="K62">
        <v>13000</v>
      </c>
      <c r="L62">
        <v>1000</v>
      </c>
      <c r="M62">
        <v>23000</v>
      </c>
      <c r="N62">
        <v>10000</v>
      </c>
      <c r="O62">
        <v>20000</v>
      </c>
      <c r="P62">
        <v>50000</v>
      </c>
      <c r="Q62">
        <v>25000</v>
      </c>
      <c r="R62">
        <v>31000</v>
      </c>
      <c r="S62">
        <v>18000</v>
      </c>
      <c r="T62">
        <v>60000</v>
      </c>
      <c r="U62">
        <v>74000</v>
      </c>
      <c r="V62">
        <v>35000</v>
      </c>
      <c r="W62">
        <v>60000</v>
      </c>
      <c r="X62">
        <v>30000</v>
      </c>
      <c r="Y62">
        <v>50000</v>
      </c>
      <c r="Z62">
        <v>41000</v>
      </c>
      <c r="AA62">
        <v>40000</v>
      </c>
      <c r="AB62">
        <v>35000</v>
      </c>
      <c r="AC62">
        <v>40000</v>
      </c>
      <c r="AD62">
        <v>48000</v>
      </c>
      <c r="AE62">
        <v>21000</v>
      </c>
      <c r="AF62">
        <v>18000</v>
      </c>
      <c r="AG62">
        <v>26500</v>
      </c>
      <c r="AH62">
        <v>40000</v>
      </c>
      <c r="AI62">
        <v>160000</v>
      </c>
      <c r="AJ62">
        <v>33000</v>
      </c>
      <c r="AK62">
        <v>12000</v>
      </c>
      <c r="AL62">
        <v>65000</v>
      </c>
      <c r="AM62">
        <v>35500</v>
      </c>
      <c r="AN62">
        <v>82000</v>
      </c>
      <c r="AO62">
        <v>107000</v>
      </c>
      <c r="AP62">
        <v>100777</v>
      </c>
      <c r="AQ62">
        <v>210500</v>
      </c>
      <c r="AR62">
        <v>63347</v>
      </c>
      <c r="AS62">
        <v>60000</v>
      </c>
      <c r="AT62">
        <v>94897</v>
      </c>
      <c r="AU62">
        <v>130000</v>
      </c>
      <c r="AV62">
        <v>30000</v>
      </c>
      <c r="AW62">
        <v>61000</v>
      </c>
      <c r="AX62">
        <v>30000</v>
      </c>
      <c r="AY62">
        <v>33000</v>
      </c>
      <c r="AZ62">
        <v>44000</v>
      </c>
    </row>
    <row r="63" spans="1:52" x14ac:dyDescent="0.25">
      <c r="A63" t="s">
        <v>219</v>
      </c>
      <c r="B63" s="44" t="s">
        <v>279</v>
      </c>
      <c r="C63" s="44" t="s">
        <v>225</v>
      </c>
      <c r="D63">
        <v>500</v>
      </c>
      <c r="E63">
        <v>6000</v>
      </c>
      <c r="F63">
        <v>1500</v>
      </c>
      <c r="G63">
        <v>8000</v>
      </c>
      <c r="H63">
        <v>6000</v>
      </c>
      <c r="I63">
        <v>2000</v>
      </c>
      <c r="J63">
        <v>500</v>
      </c>
      <c r="K63">
        <v>3946</v>
      </c>
      <c r="L63">
        <v>409</v>
      </c>
      <c r="M63">
        <v>8303</v>
      </c>
      <c r="N63">
        <v>500</v>
      </c>
      <c r="O63">
        <v>3500</v>
      </c>
      <c r="P63">
        <v>2417</v>
      </c>
      <c r="Q63">
        <v>12000</v>
      </c>
      <c r="R63">
        <v>1000</v>
      </c>
      <c r="S63">
        <v>20000</v>
      </c>
      <c r="T63">
        <v>2000</v>
      </c>
      <c r="U63">
        <v>35000</v>
      </c>
      <c r="V63">
        <v>2000</v>
      </c>
      <c r="W63">
        <v>23000</v>
      </c>
      <c r="X63">
        <v>5300</v>
      </c>
      <c r="Y63">
        <v>26000</v>
      </c>
      <c r="Z63">
        <v>7000</v>
      </c>
      <c r="AA63">
        <v>42000</v>
      </c>
      <c r="AB63">
        <v>7000</v>
      </c>
      <c r="AC63">
        <v>45000</v>
      </c>
      <c r="AD63">
        <v>2000</v>
      </c>
      <c r="AE63">
        <v>8000</v>
      </c>
      <c r="AF63">
        <v>2000</v>
      </c>
      <c r="AG63">
        <v>3000</v>
      </c>
      <c r="AH63">
        <v>10000</v>
      </c>
      <c r="AI63">
        <v>4003</v>
      </c>
      <c r="AJ63">
        <v>13000</v>
      </c>
      <c r="AK63">
        <v>15000</v>
      </c>
      <c r="AL63">
        <v>50000</v>
      </c>
      <c r="AM63">
        <v>45000</v>
      </c>
      <c r="AN63">
        <v>27000</v>
      </c>
      <c r="AO63">
        <v>42000</v>
      </c>
      <c r="AP63">
        <v>15000</v>
      </c>
      <c r="AQ63">
        <v>117000</v>
      </c>
      <c r="AR63">
        <v>30243</v>
      </c>
      <c r="AS63">
        <v>50000</v>
      </c>
      <c r="AT63">
        <v>27000</v>
      </c>
      <c r="AU63">
        <v>120000</v>
      </c>
      <c r="AV63">
        <v>64000</v>
      </c>
      <c r="AW63">
        <v>28000</v>
      </c>
      <c r="AX63">
        <v>42000</v>
      </c>
      <c r="AY63">
        <v>61000</v>
      </c>
      <c r="AZ63">
        <v>28000</v>
      </c>
    </row>
    <row r="64" spans="1:52" x14ac:dyDescent="0.25">
      <c r="A64" t="s">
        <v>219</v>
      </c>
      <c r="B64" s="44" t="s">
        <v>280</v>
      </c>
      <c r="C64" s="44" t="s">
        <v>226</v>
      </c>
      <c r="D64">
        <v>1464</v>
      </c>
      <c r="E64">
        <v>3722</v>
      </c>
      <c r="F64">
        <v>1423</v>
      </c>
      <c r="G64">
        <v>8716</v>
      </c>
      <c r="H64">
        <v>1398</v>
      </c>
      <c r="I64">
        <v>4033</v>
      </c>
      <c r="J64">
        <v>553</v>
      </c>
      <c r="K64">
        <v>2127</v>
      </c>
      <c r="L64">
        <v>221</v>
      </c>
      <c r="M64">
        <v>4475</v>
      </c>
      <c r="N64">
        <v>618</v>
      </c>
      <c r="O64">
        <v>2441</v>
      </c>
      <c r="P64">
        <v>1303</v>
      </c>
      <c r="Q64">
        <v>3792</v>
      </c>
      <c r="R64">
        <v>2001</v>
      </c>
      <c r="S64">
        <v>5362</v>
      </c>
      <c r="T64">
        <v>8000</v>
      </c>
      <c r="U64">
        <v>18163</v>
      </c>
      <c r="V64">
        <v>7000</v>
      </c>
      <c r="W64">
        <v>7000</v>
      </c>
      <c r="X64">
        <v>2255</v>
      </c>
      <c r="Y64">
        <v>4000</v>
      </c>
      <c r="Z64">
        <v>8000</v>
      </c>
      <c r="AA64">
        <v>11000</v>
      </c>
      <c r="AB64">
        <v>10000</v>
      </c>
      <c r="AC64">
        <v>13000</v>
      </c>
      <c r="AD64">
        <v>3520</v>
      </c>
      <c r="AE64">
        <v>4487</v>
      </c>
      <c r="AF64">
        <v>1776</v>
      </c>
      <c r="AG64">
        <v>4692</v>
      </c>
      <c r="AH64">
        <v>3172</v>
      </c>
      <c r="AI64">
        <v>7673</v>
      </c>
      <c r="AJ64">
        <v>5593</v>
      </c>
      <c r="AK64">
        <v>4557</v>
      </c>
      <c r="AL64">
        <v>12000</v>
      </c>
      <c r="AM64">
        <v>19000</v>
      </c>
      <c r="AN64">
        <v>49000</v>
      </c>
      <c r="AO64">
        <v>35000</v>
      </c>
      <c r="AP64">
        <v>25000</v>
      </c>
      <c r="AQ64">
        <v>44000</v>
      </c>
      <c r="AR64">
        <v>16301</v>
      </c>
      <c r="AS64">
        <v>26000</v>
      </c>
      <c r="AT64">
        <v>8000</v>
      </c>
      <c r="AU64">
        <v>34000</v>
      </c>
      <c r="AV64">
        <v>10000</v>
      </c>
      <c r="AW64">
        <v>55000</v>
      </c>
      <c r="AX64">
        <v>44000</v>
      </c>
      <c r="AY64">
        <v>19000</v>
      </c>
      <c r="AZ64">
        <v>22000</v>
      </c>
    </row>
    <row r="65" spans="1:52" x14ac:dyDescent="0.25">
      <c r="A65" t="s">
        <v>227</v>
      </c>
      <c r="B65" s="44" t="s">
        <v>281</v>
      </c>
      <c r="C65" s="44" t="s">
        <v>228</v>
      </c>
      <c r="D65">
        <v>200</v>
      </c>
      <c r="E65">
        <v>16200</v>
      </c>
      <c r="F65">
        <v>12000</v>
      </c>
      <c r="G65">
        <v>6000</v>
      </c>
      <c r="H65">
        <v>5000</v>
      </c>
      <c r="I65">
        <v>8848</v>
      </c>
      <c r="J65">
        <v>1213</v>
      </c>
      <c r="K65">
        <v>4666</v>
      </c>
      <c r="L65">
        <v>484</v>
      </c>
      <c r="M65">
        <v>9818</v>
      </c>
      <c r="N65">
        <v>1355</v>
      </c>
      <c r="O65">
        <v>5355</v>
      </c>
      <c r="P65">
        <v>2858</v>
      </c>
      <c r="Q65">
        <v>700</v>
      </c>
      <c r="R65">
        <v>4389</v>
      </c>
      <c r="S65">
        <v>11765</v>
      </c>
      <c r="T65">
        <v>6092</v>
      </c>
      <c r="U65">
        <v>39849</v>
      </c>
      <c r="V65">
        <v>7415</v>
      </c>
      <c r="W65">
        <v>37885</v>
      </c>
      <c r="X65">
        <v>4947</v>
      </c>
      <c r="Y65">
        <v>20000</v>
      </c>
      <c r="Z65">
        <v>14285</v>
      </c>
      <c r="AA65">
        <v>10000</v>
      </c>
      <c r="AB65">
        <v>2500</v>
      </c>
      <c r="AC65">
        <v>23000</v>
      </c>
      <c r="AD65">
        <v>5000</v>
      </c>
      <c r="AE65">
        <v>10000</v>
      </c>
      <c r="AF65">
        <v>3000</v>
      </c>
      <c r="AG65">
        <v>11000</v>
      </c>
      <c r="AH65">
        <v>2000</v>
      </c>
      <c r="AI65">
        <v>5000</v>
      </c>
      <c r="AJ65">
        <v>5500</v>
      </c>
      <c r="AK65">
        <v>9997</v>
      </c>
      <c r="AL65">
        <v>15000</v>
      </c>
      <c r="AM65">
        <v>25000</v>
      </c>
      <c r="AN65">
        <v>36185</v>
      </c>
      <c r="AO65">
        <v>85000</v>
      </c>
      <c r="AP65">
        <v>56894</v>
      </c>
      <c r="AQ65">
        <v>140058</v>
      </c>
      <c r="AR65">
        <v>41000</v>
      </c>
      <c r="AS65">
        <v>50000</v>
      </c>
      <c r="AT65">
        <v>53574</v>
      </c>
      <c r="AU65">
        <v>68000</v>
      </c>
      <c r="AV65">
        <v>84000</v>
      </c>
      <c r="AW65">
        <v>91000</v>
      </c>
      <c r="AX65">
        <v>112000</v>
      </c>
      <c r="AY65">
        <v>71000</v>
      </c>
      <c r="AZ65">
        <v>136000</v>
      </c>
    </row>
    <row r="66" spans="1:52" x14ac:dyDescent="0.25">
      <c r="A66" t="s">
        <v>227</v>
      </c>
      <c r="B66" s="44" t="s">
        <v>282</v>
      </c>
      <c r="C66" s="44" t="s">
        <v>229</v>
      </c>
      <c r="D66">
        <v>2400</v>
      </c>
      <c r="E66">
        <v>8000</v>
      </c>
      <c r="F66">
        <v>600</v>
      </c>
      <c r="G66">
        <v>10000</v>
      </c>
      <c r="H66">
        <v>500</v>
      </c>
      <c r="I66">
        <v>4000</v>
      </c>
      <c r="J66">
        <v>855</v>
      </c>
      <c r="K66">
        <v>3286</v>
      </c>
      <c r="L66">
        <v>200</v>
      </c>
      <c r="M66">
        <v>300</v>
      </c>
      <c r="N66">
        <v>500</v>
      </c>
      <c r="O66">
        <v>300</v>
      </c>
      <c r="P66">
        <v>300</v>
      </c>
      <c r="Q66">
        <v>6000</v>
      </c>
      <c r="R66">
        <v>1200</v>
      </c>
      <c r="S66">
        <v>5000</v>
      </c>
      <c r="T66">
        <v>4290</v>
      </c>
      <c r="U66">
        <v>28065</v>
      </c>
      <c r="V66">
        <v>3000</v>
      </c>
      <c r="W66">
        <v>15000</v>
      </c>
      <c r="X66">
        <v>3500</v>
      </c>
      <c r="Y66">
        <v>3000</v>
      </c>
      <c r="Z66">
        <v>4200</v>
      </c>
      <c r="AA66">
        <v>24000</v>
      </c>
      <c r="AB66">
        <v>7000</v>
      </c>
      <c r="AC66">
        <v>22000</v>
      </c>
      <c r="AD66">
        <v>4000</v>
      </c>
      <c r="AE66">
        <v>6933</v>
      </c>
      <c r="AF66">
        <v>2743</v>
      </c>
      <c r="AG66">
        <v>19000</v>
      </c>
      <c r="AH66">
        <v>5000</v>
      </c>
      <c r="AI66">
        <v>11000</v>
      </c>
      <c r="AJ66">
        <v>5000</v>
      </c>
      <c r="AK66">
        <v>7040</v>
      </c>
      <c r="AL66">
        <v>40000</v>
      </c>
      <c r="AM66">
        <v>44000</v>
      </c>
      <c r="AN66">
        <v>34000</v>
      </c>
      <c r="AO66">
        <v>103000</v>
      </c>
      <c r="AP66">
        <v>17000</v>
      </c>
      <c r="AQ66">
        <v>70000</v>
      </c>
      <c r="AR66">
        <v>38000</v>
      </c>
      <c r="AS66">
        <v>20000</v>
      </c>
      <c r="AT66">
        <v>25000</v>
      </c>
      <c r="AU66">
        <v>80000</v>
      </c>
      <c r="AV66">
        <v>56000</v>
      </c>
      <c r="AW66">
        <v>36000</v>
      </c>
      <c r="AX66">
        <v>24000</v>
      </c>
      <c r="AY66">
        <v>66000</v>
      </c>
      <c r="AZ66">
        <v>29000</v>
      </c>
    </row>
    <row r="67" spans="1:52" x14ac:dyDescent="0.25">
      <c r="A67" t="s">
        <v>227</v>
      </c>
      <c r="B67" s="44" t="s">
        <v>283</v>
      </c>
      <c r="C67" s="44" t="s">
        <v>230</v>
      </c>
      <c r="D67">
        <v>15000</v>
      </c>
      <c r="E67">
        <v>41000</v>
      </c>
      <c r="F67">
        <v>10200</v>
      </c>
      <c r="G67">
        <v>61000</v>
      </c>
      <c r="H67">
        <v>6000</v>
      </c>
      <c r="I67">
        <v>7000</v>
      </c>
      <c r="J67">
        <v>1711</v>
      </c>
      <c r="K67">
        <v>6581</v>
      </c>
      <c r="L67">
        <v>1000</v>
      </c>
      <c r="M67">
        <v>10000</v>
      </c>
      <c r="N67">
        <v>2000</v>
      </c>
      <c r="O67">
        <v>1000</v>
      </c>
      <c r="P67">
        <v>4031</v>
      </c>
      <c r="Q67">
        <v>7000</v>
      </c>
      <c r="R67">
        <v>6190</v>
      </c>
      <c r="S67">
        <v>6000</v>
      </c>
      <c r="T67">
        <v>5000</v>
      </c>
      <c r="U67">
        <v>56200</v>
      </c>
      <c r="V67">
        <v>3000</v>
      </c>
      <c r="W67">
        <v>105000</v>
      </c>
      <c r="X67">
        <v>2300</v>
      </c>
      <c r="Y67">
        <v>85000</v>
      </c>
      <c r="Z67">
        <v>13000</v>
      </c>
      <c r="AA67">
        <v>106000</v>
      </c>
      <c r="AB67">
        <v>11000</v>
      </c>
      <c r="AC67">
        <v>40000</v>
      </c>
      <c r="AD67">
        <v>5000</v>
      </c>
      <c r="AE67">
        <v>21000</v>
      </c>
      <c r="AF67">
        <v>2000</v>
      </c>
      <c r="AG67">
        <v>24000</v>
      </c>
      <c r="AH67">
        <v>9816</v>
      </c>
      <c r="AI67">
        <v>9000</v>
      </c>
      <c r="AJ67">
        <v>10000</v>
      </c>
      <c r="AK67">
        <v>3600</v>
      </c>
      <c r="AL67">
        <v>7000</v>
      </c>
      <c r="AM67">
        <v>18000</v>
      </c>
      <c r="AN67">
        <v>28000</v>
      </c>
      <c r="AO67">
        <v>102000</v>
      </c>
      <c r="AP67">
        <v>24000</v>
      </c>
      <c r="AQ67">
        <v>180000</v>
      </c>
      <c r="AR67">
        <v>48000</v>
      </c>
      <c r="AS67">
        <v>90000</v>
      </c>
      <c r="AT67">
        <v>59000</v>
      </c>
      <c r="AU67">
        <v>170000</v>
      </c>
      <c r="AV67">
        <v>30000</v>
      </c>
      <c r="AW67">
        <v>147000</v>
      </c>
      <c r="AX67">
        <v>47000</v>
      </c>
      <c r="AY67">
        <v>98000</v>
      </c>
      <c r="AZ67">
        <v>74000</v>
      </c>
    </row>
    <row r="68" spans="1:52" x14ac:dyDescent="0.25">
      <c r="A68" t="s">
        <v>231</v>
      </c>
      <c r="B68" s="44" t="s">
        <v>284</v>
      </c>
      <c r="C68" s="44" t="s">
        <v>232</v>
      </c>
      <c r="D68">
        <v>937</v>
      </c>
      <c r="E68">
        <v>2381</v>
      </c>
      <c r="F68">
        <v>911</v>
      </c>
      <c r="G68">
        <v>5577</v>
      </c>
      <c r="H68">
        <v>895</v>
      </c>
      <c r="I68">
        <v>2580</v>
      </c>
      <c r="J68">
        <v>354</v>
      </c>
      <c r="K68">
        <v>1361</v>
      </c>
      <c r="L68">
        <v>141</v>
      </c>
      <c r="M68">
        <v>2863</v>
      </c>
      <c r="N68">
        <v>395</v>
      </c>
      <c r="O68">
        <v>1562</v>
      </c>
      <c r="P68">
        <v>833</v>
      </c>
      <c r="Q68">
        <v>2426</v>
      </c>
      <c r="R68">
        <v>1280</v>
      </c>
      <c r="S68">
        <v>3431</v>
      </c>
      <c r="T68">
        <v>1776</v>
      </c>
      <c r="U68">
        <v>11621</v>
      </c>
      <c r="V68">
        <v>2162</v>
      </c>
      <c r="W68">
        <v>11048</v>
      </c>
      <c r="X68">
        <v>1443</v>
      </c>
      <c r="Y68">
        <v>10003</v>
      </c>
      <c r="Z68">
        <v>4166</v>
      </c>
      <c r="AA68">
        <v>8406</v>
      </c>
      <c r="AB68">
        <v>5777</v>
      </c>
      <c r="AC68">
        <v>11977</v>
      </c>
      <c r="AD68">
        <v>2252</v>
      </c>
      <c r="AE68">
        <v>2871</v>
      </c>
      <c r="AF68">
        <v>1136</v>
      </c>
      <c r="AG68">
        <v>18000</v>
      </c>
      <c r="AH68">
        <v>2030</v>
      </c>
      <c r="AI68">
        <v>4909</v>
      </c>
      <c r="AJ68">
        <v>3579</v>
      </c>
      <c r="AK68">
        <v>2915</v>
      </c>
      <c r="AL68">
        <v>8980</v>
      </c>
      <c r="AM68">
        <v>9197</v>
      </c>
      <c r="AN68">
        <v>10552</v>
      </c>
      <c r="AO68">
        <v>28000</v>
      </c>
      <c r="AP68">
        <v>16592</v>
      </c>
      <c r="AQ68">
        <v>15000</v>
      </c>
      <c r="AR68">
        <v>10429</v>
      </c>
      <c r="AS68">
        <v>25000</v>
      </c>
      <c r="AT68">
        <v>8000</v>
      </c>
      <c r="AU68">
        <v>14000</v>
      </c>
      <c r="AV68">
        <v>11000</v>
      </c>
      <c r="AW68">
        <v>40000</v>
      </c>
      <c r="AX68">
        <v>18000</v>
      </c>
      <c r="AY68">
        <v>12000</v>
      </c>
      <c r="AZ68">
        <v>14000</v>
      </c>
    </row>
    <row r="69" spans="1:52" x14ac:dyDescent="0.25">
      <c r="A69" t="s">
        <v>231</v>
      </c>
      <c r="B69" s="44" t="s">
        <v>285</v>
      </c>
      <c r="C69" s="44" t="s">
        <v>233</v>
      </c>
      <c r="D69">
        <v>200</v>
      </c>
      <c r="E69">
        <v>3518</v>
      </c>
      <c r="F69">
        <v>500</v>
      </c>
      <c r="G69">
        <v>4000</v>
      </c>
      <c r="H69">
        <v>4000</v>
      </c>
      <c r="I69">
        <v>10000</v>
      </c>
      <c r="J69">
        <v>523</v>
      </c>
      <c r="K69">
        <v>2010</v>
      </c>
      <c r="L69">
        <v>209</v>
      </c>
      <c r="M69">
        <v>1000</v>
      </c>
      <c r="N69">
        <v>584</v>
      </c>
      <c r="O69">
        <v>5000</v>
      </c>
      <c r="P69">
        <v>150</v>
      </c>
      <c r="Q69">
        <v>2000</v>
      </c>
      <c r="R69">
        <v>150</v>
      </c>
      <c r="S69">
        <v>2000</v>
      </c>
      <c r="T69">
        <v>200</v>
      </c>
      <c r="U69">
        <v>10000</v>
      </c>
      <c r="V69">
        <v>500</v>
      </c>
      <c r="W69">
        <v>8000</v>
      </c>
      <c r="X69">
        <v>1000</v>
      </c>
      <c r="Y69">
        <v>5000</v>
      </c>
      <c r="Z69">
        <v>500</v>
      </c>
      <c r="AA69">
        <v>12419</v>
      </c>
      <c r="AB69">
        <v>2000</v>
      </c>
      <c r="AC69">
        <v>2500</v>
      </c>
      <c r="AD69">
        <v>3327</v>
      </c>
      <c r="AE69">
        <v>10000</v>
      </c>
      <c r="AF69">
        <v>1678</v>
      </c>
      <c r="AG69">
        <v>14000</v>
      </c>
      <c r="AH69">
        <v>2998</v>
      </c>
      <c r="AI69">
        <v>1200</v>
      </c>
      <c r="AJ69">
        <v>5287</v>
      </c>
      <c r="AK69">
        <v>4307</v>
      </c>
      <c r="AL69">
        <v>13267</v>
      </c>
      <c r="AM69">
        <v>9000</v>
      </c>
      <c r="AN69">
        <v>1000</v>
      </c>
      <c r="AO69">
        <v>47000</v>
      </c>
      <c r="AP69">
        <v>24511</v>
      </c>
      <c r="AQ69">
        <v>45000</v>
      </c>
      <c r="AR69">
        <v>15407</v>
      </c>
      <c r="AS69">
        <v>60000</v>
      </c>
      <c r="AT69">
        <v>8000</v>
      </c>
      <c r="AU69">
        <v>24000</v>
      </c>
      <c r="AV69">
        <v>18000</v>
      </c>
      <c r="AW69">
        <v>70000</v>
      </c>
      <c r="AX69">
        <v>41000</v>
      </c>
      <c r="AY69">
        <v>36000</v>
      </c>
      <c r="AZ69">
        <v>35000</v>
      </c>
    </row>
    <row r="70" spans="1:52" x14ac:dyDescent="0.25">
      <c r="A70" t="s">
        <v>231</v>
      </c>
      <c r="B70" s="44" t="s">
        <v>286</v>
      </c>
      <c r="C70" s="44" t="s">
        <v>234</v>
      </c>
      <c r="D70">
        <v>1400</v>
      </c>
      <c r="E70">
        <v>23196</v>
      </c>
      <c r="F70">
        <v>6000</v>
      </c>
      <c r="G70">
        <v>115000</v>
      </c>
      <c r="H70">
        <v>17000</v>
      </c>
      <c r="I70">
        <v>60000</v>
      </c>
      <c r="J70">
        <v>2000</v>
      </c>
      <c r="K70">
        <v>13255</v>
      </c>
      <c r="L70">
        <v>2000</v>
      </c>
      <c r="M70">
        <v>15000</v>
      </c>
      <c r="N70">
        <v>2500</v>
      </c>
      <c r="O70">
        <v>20000</v>
      </c>
      <c r="P70">
        <v>1850</v>
      </c>
      <c r="Q70">
        <v>16000</v>
      </c>
      <c r="R70">
        <v>3000</v>
      </c>
      <c r="S70">
        <v>21000</v>
      </c>
      <c r="T70">
        <v>3000</v>
      </c>
      <c r="U70">
        <v>115000</v>
      </c>
      <c r="V70">
        <v>12000</v>
      </c>
      <c r="W70">
        <v>125000</v>
      </c>
      <c r="X70">
        <v>11000</v>
      </c>
      <c r="Y70">
        <v>155000</v>
      </c>
      <c r="Z70">
        <v>21000</v>
      </c>
      <c r="AA70">
        <v>131000</v>
      </c>
      <c r="AB70">
        <v>35000</v>
      </c>
      <c r="AC70">
        <v>220000</v>
      </c>
      <c r="AD70">
        <v>32000</v>
      </c>
      <c r="AE70">
        <v>29000</v>
      </c>
      <c r="AF70">
        <v>20000</v>
      </c>
      <c r="AG70">
        <v>23000</v>
      </c>
      <c r="AH70">
        <v>10000</v>
      </c>
      <c r="AI70">
        <v>23000</v>
      </c>
      <c r="AJ70">
        <v>6000</v>
      </c>
      <c r="AK70">
        <v>60000</v>
      </c>
      <c r="AL70">
        <v>25000</v>
      </c>
      <c r="AM70">
        <v>125000</v>
      </c>
      <c r="AN70">
        <v>18000</v>
      </c>
      <c r="AO70">
        <v>300000</v>
      </c>
      <c r="AP70">
        <v>30000</v>
      </c>
      <c r="AQ70">
        <v>550000</v>
      </c>
      <c r="AR70">
        <v>20000</v>
      </c>
      <c r="AS70">
        <v>320000</v>
      </c>
      <c r="AT70">
        <v>53000</v>
      </c>
      <c r="AU70">
        <v>128000</v>
      </c>
      <c r="AV70">
        <v>25000</v>
      </c>
      <c r="AW70">
        <v>285000</v>
      </c>
      <c r="AX70">
        <v>81000</v>
      </c>
      <c r="AY70">
        <v>204000</v>
      </c>
      <c r="AZ70">
        <v>90000</v>
      </c>
    </row>
    <row r="71" spans="1:52" x14ac:dyDescent="0.25">
      <c r="A71" t="s">
        <v>231</v>
      </c>
      <c r="B71" s="44" t="s">
        <v>287</v>
      </c>
      <c r="C71" s="44" t="s">
        <v>235</v>
      </c>
      <c r="D71">
        <v>3302</v>
      </c>
      <c r="E71">
        <v>8394</v>
      </c>
      <c r="F71">
        <v>50</v>
      </c>
      <c r="G71">
        <v>4000</v>
      </c>
      <c r="H71">
        <v>1000</v>
      </c>
      <c r="I71">
        <v>9096</v>
      </c>
      <c r="J71">
        <v>1247</v>
      </c>
      <c r="K71">
        <v>4797</v>
      </c>
      <c r="L71">
        <v>498</v>
      </c>
      <c r="M71">
        <v>10093</v>
      </c>
      <c r="N71">
        <v>500</v>
      </c>
      <c r="O71">
        <v>5505</v>
      </c>
      <c r="P71">
        <v>2938</v>
      </c>
      <c r="Q71">
        <v>1000</v>
      </c>
      <c r="R71">
        <v>4512</v>
      </c>
      <c r="S71">
        <v>500</v>
      </c>
      <c r="T71">
        <v>500</v>
      </c>
      <c r="U71">
        <v>10000</v>
      </c>
      <c r="V71">
        <v>1000</v>
      </c>
      <c r="W71">
        <v>30000</v>
      </c>
      <c r="X71">
        <v>1500</v>
      </c>
      <c r="Y71">
        <v>33000</v>
      </c>
      <c r="Z71">
        <v>4000</v>
      </c>
      <c r="AA71">
        <v>60000</v>
      </c>
      <c r="AB71">
        <v>6000</v>
      </c>
      <c r="AC71">
        <v>56000</v>
      </c>
      <c r="AD71">
        <v>4000</v>
      </c>
      <c r="AE71">
        <v>17000</v>
      </c>
      <c r="AF71">
        <v>4005</v>
      </c>
      <c r="AG71">
        <v>21000</v>
      </c>
      <c r="AH71">
        <v>1000</v>
      </c>
      <c r="AI71">
        <v>11000</v>
      </c>
      <c r="AJ71">
        <v>1000</v>
      </c>
      <c r="AK71">
        <v>13000</v>
      </c>
      <c r="AL71">
        <v>5000</v>
      </c>
      <c r="AM71">
        <v>16000</v>
      </c>
      <c r="AN71">
        <v>37199</v>
      </c>
      <c r="AO71">
        <v>85000</v>
      </c>
      <c r="AP71">
        <v>2000</v>
      </c>
      <c r="AQ71">
        <v>300000</v>
      </c>
      <c r="AR71">
        <v>3000</v>
      </c>
      <c r="AS71">
        <v>167000</v>
      </c>
      <c r="AT71">
        <v>55076</v>
      </c>
      <c r="AU71">
        <v>55000</v>
      </c>
      <c r="AV71">
        <v>2000</v>
      </c>
      <c r="AW71">
        <v>80000</v>
      </c>
      <c r="AX71">
        <v>25000</v>
      </c>
      <c r="AY71">
        <v>108000</v>
      </c>
      <c r="AZ71">
        <v>25000</v>
      </c>
    </row>
    <row r="72" spans="1:52" x14ac:dyDescent="0.25">
      <c r="A72" t="s">
        <v>231</v>
      </c>
      <c r="B72" s="44" t="s">
        <v>288</v>
      </c>
      <c r="C72" s="44" t="s">
        <v>236</v>
      </c>
      <c r="D72">
        <v>5000</v>
      </c>
      <c r="E72">
        <v>20000</v>
      </c>
      <c r="F72">
        <v>2557</v>
      </c>
      <c r="G72">
        <v>46000</v>
      </c>
      <c r="H72">
        <v>12000</v>
      </c>
      <c r="I72">
        <v>20000</v>
      </c>
      <c r="J72">
        <v>3000</v>
      </c>
      <c r="K72">
        <v>3821</v>
      </c>
      <c r="L72">
        <v>1000</v>
      </c>
      <c r="M72">
        <v>9000</v>
      </c>
      <c r="N72">
        <v>1000</v>
      </c>
      <c r="O72">
        <v>4385</v>
      </c>
      <c r="P72">
        <v>1500</v>
      </c>
      <c r="Q72">
        <v>3500</v>
      </c>
      <c r="R72">
        <v>8000</v>
      </c>
      <c r="S72">
        <v>5000</v>
      </c>
      <c r="T72">
        <v>7000</v>
      </c>
      <c r="U72">
        <v>9000</v>
      </c>
      <c r="V72">
        <v>13000</v>
      </c>
      <c r="W72">
        <v>35000</v>
      </c>
      <c r="X72">
        <v>8700</v>
      </c>
      <c r="Y72">
        <v>37000</v>
      </c>
      <c r="Z72">
        <v>9000</v>
      </c>
      <c r="AA72">
        <v>28000</v>
      </c>
      <c r="AB72">
        <v>10000</v>
      </c>
      <c r="AC72">
        <v>35000</v>
      </c>
      <c r="AD72">
        <v>5000</v>
      </c>
      <c r="AE72">
        <v>11000</v>
      </c>
      <c r="AF72">
        <v>3000</v>
      </c>
      <c r="AG72">
        <v>19000</v>
      </c>
      <c r="AH72">
        <v>5699</v>
      </c>
      <c r="AI72">
        <v>13784</v>
      </c>
      <c r="AJ72">
        <v>5000</v>
      </c>
      <c r="AK72">
        <v>1200</v>
      </c>
      <c r="AL72">
        <v>1500</v>
      </c>
      <c r="AM72">
        <v>3000</v>
      </c>
      <c r="AN72">
        <v>12000</v>
      </c>
      <c r="AO72">
        <v>80000</v>
      </c>
      <c r="AP72">
        <v>17000</v>
      </c>
      <c r="AQ72">
        <v>36000</v>
      </c>
      <c r="AR72">
        <v>29284</v>
      </c>
      <c r="AS72">
        <v>80000</v>
      </c>
      <c r="AT72">
        <v>25000</v>
      </c>
      <c r="AU72">
        <v>66000</v>
      </c>
      <c r="AV72">
        <v>31000</v>
      </c>
      <c r="AW72">
        <v>64000</v>
      </c>
      <c r="AX72">
        <v>68000</v>
      </c>
      <c r="AY72">
        <v>99000</v>
      </c>
      <c r="AZ72">
        <v>84000</v>
      </c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7C73-EF52-4519-80F0-EEFC0F2563D0}">
  <sheetPr codeName="Sheet2">
    <tabColor rgb="FF92D050"/>
  </sheetPr>
  <dimension ref="A1"/>
  <sheetViews>
    <sheetView workbookViewId="0"/>
  </sheetViews>
  <sheetFormatPr defaultRowHeight="13.2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50AD-71F1-4393-A2EE-5B157E3CFDE9}">
  <sheetPr codeName="Sheet3"/>
  <dimension ref="A1:L14"/>
  <sheetViews>
    <sheetView workbookViewId="0">
      <selection activeCell="F16" sqref="F16"/>
    </sheetView>
  </sheetViews>
  <sheetFormatPr defaultColWidth="9.109375" defaultRowHeight="14.4" x14ac:dyDescent="0.3"/>
  <cols>
    <col min="1" max="8" width="9.109375" style="170"/>
    <col min="9" max="9" width="8.44140625" style="170" bestFit="1" customWidth="1"/>
    <col min="10" max="10" width="10.33203125" style="170" bestFit="1" customWidth="1"/>
    <col min="11" max="11" width="11.5546875" style="170" bestFit="1" customWidth="1"/>
    <col min="12" max="12" width="11.33203125" style="170" bestFit="1" customWidth="1"/>
    <col min="13" max="16384" width="9.109375" style="170"/>
  </cols>
  <sheetData>
    <row r="1" spans="1:12" x14ac:dyDescent="0.3">
      <c r="B1" s="170" t="s">
        <v>353</v>
      </c>
      <c r="C1" s="170" t="s">
        <v>242</v>
      </c>
      <c r="D1" s="170" t="s">
        <v>320</v>
      </c>
      <c r="E1" s="170" t="s">
        <v>292</v>
      </c>
      <c r="F1" s="170" t="s">
        <v>352</v>
      </c>
      <c r="G1" s="170" t="s">
        <v>351</v>
      </c>
      <c r="H1" s="170" t="s">
        <v>350</v>
      </c>
      <c r="I1" s="170" t="s">
        <v>349</v>
      </c>
      <c r="J1" s="170" t="s">
        <v>312</v>
      </c>
      <c r="K1" s="170" t="s">
        <v>348</v>
      </c>
      <c r="L1" s="178" t="s">
        <v>310</v>
      </c>
    </row>
    <row r="2" spans="1:12" x14ac:dyDescent="0.3">
      <c r="A2" s="170">
        <v>2009</v>
      </c>
      <c r="B2" s="170">
        <v>144000</v>
      </c>
      <c r="C2" s="170">
        <v>187000</v>
      </c>
      <c r="D2" s="170">
        <v>186000</v>
      </c>
      <c r="E2" s="170">
        <v>581000</v>
      </c>
      <c r="F2" s="170">
        <v>235000</v>
      </c>
      <c r="G2" s="170">
        <v>239000</v>
      </c>
      <c r="H2" s="170">
        <v>212000</v>
      </c>
      <c r="I2" s="170">
        <v>343000</v>
      </c>
      <c r="J2" s="170">
        <v>52000</v>
      </c>
      <c r="K2" s="170">
        <v>40000</v>
      </c>
      <c r="L2" s="170">
        <v>689000</v>
      </c>
    </row>
    <row r="3" spans="1:12" x14ac:dyDescent="0.3">
      <c r="A3" s="170">
        <v>2010</v>
      </c>
      <c r="B3" s="170">
        <v>53000</v>
      </c>
      <c r="C3" s="170">
        <v>150000</v>
      </c>
      <c r="D3" s="170">
        <v>85500</v>
      </c>
      <c r="E3" s="170">
        <v>257600</v>
      </c>
      <c r="F3" s="170">
        <v>173000</v>
      </c>
      <c r="G3" s="170">
        <v>353000</v>
      </c>
      <c r="H3" s="170">
        <v>293000</v>
      </c>
      <c r="I3" s="170">
        <v>249000</v>
      </c>
      <c r="J3" s="170">
        <v>44000</v>
      </c>
      <c r="K3" s="170">
        <v>107000</v>
      </c>
      <c r="L3" s="170">
        <v>714000</v>
      </c>
    </row>
    <row r="4" spans="1:12" x14ac:dyDescent="0.3">
      <c r="A4" s="170">
        <v>2011</v>
      </c>
      <c r="B4" s="170">
        <v>186000</v>
      </c>
      <c r="C4" s="170">
        <v>211500</v>
      </c>
      <c r="D4" s="170">
        <v>225000</v>
      </c>
      <c r="E4" s="170">
        <v>762000</v>
      </c>
      <c r="F4" s="170">
        <v>340000</v>
      </c>
      <c r="G4" s="170">
        <v>378000</v>
      </c>
      <c r="H4" s="170">
        <v>461000</v>
      </c>
      <c r="I4" s="170">
        <v>397000</v>
      </c>
      <c r="J4" s="170">
        <v>117000</v>
      </c>
      <c r="K4" s="170">
        <v>88000</v>
      </c>
      <c r="L4" s="170">
        <v>935000</v>
      </c>
    </row>
    <row r="5" spans="1:12" x14ac:dyDescent="0.3">
      <c r="A5" s="170">
        <v>2012</v>
      </c>
      <c r="B5" s="170">
        <v>28500</v>
      </c>
      <c r="C5" s="170">
        <v>74000</v>
      </c>
      <c r="D5" s="170">
        <v>15800</v>
      </c>
      <c r="E5" s="170">
        <v>67798</v>
      </c>
      <c r="F5" s="170">
        <v>335500</v>
      </c>
      <c r="G5" s="170">
        <v>479000</v>
      </c>
      <c r="H5" s="170">
        <v>420000</v>
      </c>
      <c r="I5" s="170">
        <v>273000</v>
      </c>
      <c r="J5" s="170">
        <v>84179</v>
      </c>
      <c r="K5" s="170">
        <v>140000</v>
      </c>
      <c r="L5" s="170">
        <v>740000</v>
      </c>
    </row>
    <row r="6" spans="1:12" x14ac:dyDescent="0.3">
      <c r="A6" s="170">
        <v>2013</v>
      </c>
      <c r="B6" s="170">
        <v>187000</v>
      </c>
      <c r="C6" s="170">
        <v>200000</v>
      </c>
      <c r="D6" s="170">
        <v>204000</v>
      </c>
      <c r="E6" s="170">
        <v>760000</v>
      </c>
      <c r="F6" s="170">
        <v>501000</v>
      </c>
      <c r="G6" s="170">
        <v>806000</v>
      </c>
      <c r="H6" s="170">
        <v>871000</v>
      </c>
      <c r="I6" s="170">
        <v>789000</v>
      </c>
      <c r="J6" s="170">
        <v>487000</v>
      </c>
      <c r="K6" s="170">
        <v>470000</v>
      </c>
      <c r="L6" s="170">
        <v>1413000</v>
      </c>
    </row>
    <row r="7" spans="1:12" x14ac:dyDescent="0.3">
      <c r="A7" s="170">
        <v>2014</v>
      </c>
      <c r="B7" s="170">
        <v>118000</v>
      </c>
      <c r="C7" s="170">
        <v>52900</v>
      </c>
      <c r="D7" s="170">
        <v>10500</v>
      </c>
      <c r="E7" s="170">
        <v>79500</v>
      </c>
      <c r="F7" s="170">
        <v>209000</v>
      </c>
      <c r="G7" s="170">
        <v>644000</v>
      </c>
      <c r="H7" s="170">
        <v>405000</v>
      </c>
      <c r="I7" s="170">
        <v>268000</v>
      </c>
      <c r="J7" s="170">
        <v>243000</v>
      </c>
      <c r="K7" s="170">
        <v>230000</v>
      </c>
      <c r="L7" s="170">
        <v>747000</v>
      </c>
    </row>
    <row r="8" spans="1:12" x14ac:dyDescent="0.3">
      <c r="A8" s="170">
        <v>2015</v>
      </c>
      <c r="B8" s="170">
        <v>125000</v>
      </c>
      <c r="C8" s="170">
        <v>102000</v>
      </c>
      <c r="D8" s="170">
        <v>97000</v>
      </c>
      <c r="E8" s="170">
        <v>842000</v>
      </c>
      <c r="F8" s="170">
        <v>361000</v>
      </c>
      <c r="G8" s="170">
        <v>459000</v>
      </c>
      <c r="H8" s="170">
        <v>568000</v>
      </c>
      <c r="I8" s="170">
        <v>494000</v>
      </c>
      <c r="J8" s="170">
        <v>207000</v>
      </c>
      <c r="K8" s="170">
        <v>178000</v>
      </c>
      <c r="L8" s="170">
        <v>573000</v>
      </c>
    </row>
    <row r="9" spans="1:12" x14ac:dyDescent="0.3">
      <c r="A9" s="170">
        <v>2016</v>
      </c>
      <c r="B9" s="170">
        <v>71000</v>
      </c>
      <c r="C9" s="170">
        <v>103000</v>
      </c>
      <c r="D9" s="170">
        <v>73000</v>
      </c>
      <c r="E9" s="170">
        <v>380200</v>
      </c>
      <c r="F9" s="170">
        <v>215000</v>
      </c>
      <c r="G9" s="170">
        <v>513000</v>
      </c>
      <c r="H9" s="170">
        <v>253000</v>
      </c>
      <c r="I9" s="170">
        <v>221000</v>
      </c>
      <c r="J9" s="170">
        <v>60000</v>
      </c>
      <c r="K9" s="170">
        <v>52000</v>
      </c>
      <c r="L9" s="170">
        <v>381000</v>
      </c>
    </row>
    <row r="10" spans="1:12" x14ac:dyDescent="0.3">
      <c r="A10" s="170">
        <v>2017</v>
      </c>
      <c r="B10" s="170">
        <v>317000</v>
      </c>
      <c r="C10" s="170">
        <v>165000</v>
      </c>
      <c r="D10" s="170">
        <v>120000</v>
      </c>
      <c r="E10" s="170">
        <v>788500</v>
      </c>
      <c r="F10" s="170">
        <v>459000</v>
      </c>
      <c r="G10" s="170">
        <v>493000</v>
      </c>
      <c r="H10" s="170">
        <v>558000</v>
      </c>
      <c r="I10" s="170">
        <v>855000</v>
      </c>
      <c r="J10" s="170">
        <v>93000</v>
      </c>
      <c r="K10" s="170">
        <v>49000</v>
      </c>
      <c r="L10" s="170">
        <v>333000</v>
      </c>
    </row>
    <row r="11" spans="1:12" x14ac:dyDescent="0.3">
      <c r="A11" s="170">
        <v>2018</v>
      </c>
      <c r="B11" s="170">
        <v>7200</v>
      </c>
      <c r="C11" s="170">
        <v>17150</v>
      </c>
      <c r="D11" s="170">
        <v>34500</v>
      </c>
      <c r="E11" s="170">
        <v>235400</v>
      </c>
      <c r="F11" s="170">
        <v>298600</v>
      </c>
      <c r="G11" s="170">
        <v>666200</v>
      </c>
      <c r="H11" s="170">
        <v>358000</v>
      </c>
      <c r="I11" s="170">
        <v>200000</v>
      </c>
      <c r="J11" s="170">
        <v>104400</v>
      </c>
      <c r="K11" s="170">
        <v>30200</v>
      </c>
      <c r="L11" s="170">
        <v>240500</v>
      </c>
    </row>
    <row r="12" spans="1:12" x14ac:dyDescent="0.3">
      <c r="A12" s="170">
        <v>2019</v>
      </c>
      <c r="B12" s="170">
        <v>105100</v>
      </c>
      <c r="C12" s="170">
        <v>80500</v>
      </c>
      <c r="D12" s="170">
        <v>139000</v>
      </c>
      <c r="E12" s="170">
        <v>202150</v>
      </c>
      <c r="F12" s="170">
        <v>257600</v>
      </c>
      <c r="G12" s="170">
        <v>373100</v>
      </c>
      <c r="H12" s="170">
        <v>342000</v>
      </c>
      <c r="I12" s="170">
        <v>282800</v>
      </c>
      <c r="J12" s="170">
        <v>142500</v>
      </c>
      <c r="K12" s="170">
        <v>9000</v>
      </c>
      <c r="L12" s="170">
        <v>124500</v>
      </c>
    </row>
    <row r="13" spans="1:12" x14ac:dyDescent="0.3">
      <c r="A13" s="170">
        <v>2020</v>
      </c>
    </row>
    <row r="14" spans="1:12" x14ac:dyDescent="0.3">
      <c r="A14" s="170">
        <v>2021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28E2-975A-4CF7-A4A8-482315D2C4B7}">
  <sheetPr>
    <tabColor rgb="FF92D050"/>
  </sheetPr>
  <dimension ref="A1"/>
  <sheetViews>
    <sheetView workbookViewId="0"/>
  </sheetViews>
  <sheetFormatPr defaultRowHeight="13.2" x14ac:dyDescent="0.25"/>
  <sheetData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92D050"/>
    <pageSetUpPr fitToPage="1"/>
  </sheetPr>
  <dimension ref="A1:N79"/>
  <sheetViews>
    <sheetView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J65" sqref="J65"/>
    </sheetView>
  </sheetViews>
  <sheetFormatPr defaultRowHeight="13.2" x14ac:dyDescent="0.25"/>
  <cols>
    <col min="1" max="1" width="22.5546875" customWidth="1"/>
    <col min="2" max="2" width="20.5546875" bestFit="1" customWidth="1"/>
    <col min="3" max="3" width="18.33203125" bestFit="1" customWidth="1"/>
    <col min="4" max="4" width="20.109375" bestFit="1" customWidth="1"/>
    <col min="5" max="5" width="19.109375" bestFit="1" customWidth="1"/>
    <col min="6" max="6" width="10.6640625" customWidth="1"/>
    <col min="7" max="7" width="2.33203125" style="28" customWidth="1"/>
    <col min="8" max="8" width="8.6640625" style="14" bestFit="1" customWidth="1"/>
    <col min="9" max="9" width="8.88671875" style="14" customWidth="1"/>
    <col min="10" max="10" width="10.44140625" bestFit="1" customWidth="1"/>
    <col min="11" max="11" width="11.44140625" bestFit="1" customWidth="1"/>
  </cols>
  <sheetData>
    <row r="1" spans="1:9" s="14" customFormat="1" x14ac:dyDescent="0.25">
      <c r="B1" s="38" t="s">
        <v>5</v>
      </c>
      <c r="C1" s="38" t="s">
        <v>6</v>
      </c>
      <c r="D1" s="38" t="s">
        <v>7</v>
      </c>
      <c r="E1" s="38" t="s">
        <v>8</v>
      </c>
      <c r="G1" s="29"/>
    </row>
    <row r="2" spans="1:9" s="14" customFormat="1" x14ac:dyDescent="0.25">
      <c r="B2" s="14" t="s">
        <v>9</v>
      </c>
      <c r="C2" s="15" t="s">
        <v>10</v>
      </c>
      <c r="D2" s="14" t="s">
        <v>11</v>
      </c>
      <c r="E2" s="14" t="s">
        <v>12</v>
      </c>
      <c r="F2" s="26" t="s">
        <v>4</v>
      </c>
      <c r="G2" s="29"/>
      <c r="H2" s="14" t="s">
        <v>140</v>
      </c>
    </row>
    <row r="3" spans="1:9" x14ac:dyDescent="0.25">
      <c r="A3" s="6">
        <v>1960</v>
      </c>
      <c r="B3" s="4">
        <v>2644.49459871409</v>
      </c>
      <c r="C3" s="4">
        <v>2883.6668788787697</v>
      </c>
      <c r="D3" s="4">
        <v>1006.2474501125353</v>
      </c>
      <c r="E3" s="4">
        <v>947.95242433969975</v>
      </c>
      <c r="F3" s="10">
        <f>SUM(B3:E3)</f>
        <v>7482.3613520450945</v>
      </c>
      <c r="H3" s="37">
        <v>0</v>
      </c>
      <c r="I3" s="37"/>
    </row>
    <row r="4" spans="1:9" x14ac:dyDescent="0.25">
      <c r="A4" s="6">
        <v>1961</v>
      </c>
      <c r="B4" s="4">
        <v>12581.921824146219</v>
      </c>
      <c r="C4" s="4">
        <v>13719.850759373599</v>
      </c>
      <c r="D4" s="4">
        <v>4787.5033533408587</v>
      </c>
      <c r="E4" s="4">
        <v>4510.1484819453881</v>
      </c>
      <c r="F4" s="10">
        <f t="shared" ref="F4:F57" si="0">SUM(B4:E4)</f>
        <v>35599.424418806069</v>
      </c>
      <c r="H4" s="37">
        <v>42525</v>
      </c>
      <c r="I4" s="37"/>
    </row>
    <row r="5" spans="1:9" x14ac:dyDescent="0.25">
      <c r="A5" s="6">
        <v>1962</v>
      </c>
      <c r="B5" s="4">
        <v>5141.8096142989889</v>
      </c>
      <c r="C5" s="4">
        <v>5606.8430190045274</v>
      </c>
      <c r="D5" s="4">
        <v>1956.4921092325608</v>
      </c>
      <c r="E5" s="4">
        <v>1843.1464722776468</v>
      </c>
      <c r="F5" s="10">
        <f t="shared" si="0"/>
        <v>14548.291214813724</v>
      </c>
      <c r="H5" s="37">
        <v>1211</v>
      </c>
      <c r="I5" s="37"/>
    </row>
    <row r="6" spans="1:9" x14ac:dyDescent="0.25">
      <c r="A6" s="6">
        <v>1963</v>
      </c>
      <c r="B6" s="4">
        <v>3942.1124057939796</v>
      </c>
      <c r="C6" s="4">
        <v>4298.6435402150946</v>
      </c>
      <c r="D6" s="12">
        <v>1500</v>
      </c>
      <c r="E6" s="4">
        <v>1413.0997948265649</v>
      </c>
      <c r="F6" s="10">
        <f t="shared" si="0"/>
        <v>11153.855740835639</v>
      </c>
      <c r="H6" s="37">
        <v>3875</v>
      </c>
      <c r="I6" s="37"/>
    </row>
    <row r="7" spans="1:9" x14ac:dyDescent="0.25">
      <c r="A7" s="6">
        <v>1964</v>
      </c>
      <c r="B7" s="4">
        <v>1445.0862290599616</v>
      </c>
      <c r="C7" s="4">
        <v>1575.7821410829081</v>
      </c>
      <c r="D7" s="4">
        <v>549.86471395139279</v>
      </c>
      <c r="E7" s="4">
        <v>518.00936055396494</v>
      </c>
      <c r="F7" s="10">
        <f t="shared" si="0"/>
        <v>4088.7424446482278</v>
      </c>
      <c r="H7" s="37">
        <v>2148</v>
      </c>
      <c r="I7" s="37"/>
    </row>
    <row r="8" spans="1:9" x14ac:dyDescent="0.25">
      <c r="A8" s="6">
        <v>1965</v>
      </c>
      <c r="B8" s="4">
        <v>7545.2994875761133</v>
      </c>
      <c r="C8" s="4">
        <v>8227.7084073754704</v>
      </c>
      <c r="D8" s="4">
        <v>2871.0356011399294</v>
      </c>
      <c r="E8" s="4">
        <v>2704.7076651668249</v>
      </c>
      <c r="F8" s="10">
        <f t="shared" si="0"/>
        <v>21348.75116125834</v>
      </c>
      <c r="H8" s="37">
        <v>0</v>
      </c>
      <c r="I8" s="37"/>
    </row>
    <row r="9" spans="1:9" x14ac:dyDescent="0.25">
      <c r="A9" s="6">
        <v>1966</v>
      </c>
      <c r="B9" s="4">
        <v>4335.2587631803863</v>
      </c>
      <c r="C9" s="4">
        <v>4727.3464674445213</v>
      </c>
      <c r="D9" s="4">
        <v>1649.5942098372216</v>
      </c>
      <c r="E9" s="4">
        <v>1554.0281312916898</v>
      </c>
      <c r="F9" s="10">
        <f t="shared" si="0"/>
        <v>12266.22757175382</v>
      </c>
      <c r="H9" s="37">
        <v>0</v>
      </c>
      <c r="I9" s="37"/>
    </row>
    <row r="10" spans="1:9" x14ac:dyDescent="0.25">
      <c r="A10" s="6">
        <v>1967</v>
      </c>
      <c r="B10" s="4">
        <v>10512.300789811763</v>
      </c>
      <c r="C10" s="4">
        <v>11463.05038931474</v>
      </c>
      <c r="D10" s="12">
        <v>4000</v>
      </c>
      <c r="E10" s="4">
        <v>3768.2665616872137</v>
      </c>
      <c r="F10" s="10">
        <f t="shared" si="0"/>
        <v>29743.617740813719</v>
      </c>
      <c r="H10" s="37">
        <v>4228</v>
      </c>
      <c r="I10" s="37"/>
    </row>
    <row r="11" spans="1:9" x14ac:dyDescent="0.25">
      <c r="A11" s="6">
        <v>1968</v>
      </c>
      <c r="B11" s="4">
        <v>1314.0376145955888</v>
      </c>
      <c r="C11" s="4">
        <v>1432.8813131213974</v>
      </c>
      <c r="D11" s="12">
        <v>500</v>
      </c>
      <c r="E11" s="4">
        <v>471.03332695258689</v>
      </c>
      <c r="F11" s="10">
        <f t="shared" si="0"/>
        <v>3717.952254669573</v>
      </c>
      <c r="H11" s="37">
        <v>5830</v>
      </c>
      <c r="I11" s="37"/>
    </row>
    <row r="12" spans="1:9" x14ac:dyDescent="0.25">
      <c r="A12" s="6">
        <v>1969</v>
      </c>
      <c r="B12" s="4">
        <v>10115.603874570859</v>
      </c>
      <c r="C12" s="4">
        <v>11030.47514701886</v>
      </c>
      <c r="D12" s="4">
        <v>3849.0532393628005</v>
      </c>
      <c r="E12" s="4">
        <v>3626.0657002472349</v>
      </c>
      <c r="F12" s="10">
        <f t="shared" si="0"/>
        <v>28621.197961199759</v>
      </c>
      <c r="H12" s="37">
        <v>13237</v>
      </c>
      <c r="I12" s="37"/>
    </row>
    <row r="13" spans="1:9" x14ac:dyDescent="0.25">
      <c r="A13" s="6">
        <v>1970</v>
      </c>
      <c r="B13" s="4">
        <v>13140.377378528319</v>
      </c>
      <c r="C13" s="4">
        <v>14328.814250411813</v>
      </c>
      <c r="D13" s="12">
        <v>5000</v>
      </c>
      <c r="E13" s="4">
        <v>4710.3337943479582</v>
      </c>
      <c r="F13" s="10">
        <f t="shared" si="0"/>
        <v>37179.525423288091</v>
      </c>
      <c r="H13" s="37">
        <v>6063</v>
      </c>
      <c r="I13" s="37"/>
    </row>
    <row r="14" spans="1:9" x14ac:dyDescent="0.25">
      <c r="A14" s="6">
        <v>1971</v>
      </c>
      <c r="B14" s="12">
        <v>20000</v>
      </c>
      <c r="C14" s="12">
        <v>13000</v>
      </c>
      <c r="D14" s="12">
        <v>10000</v>
      </c>
      <c r="E14" s="12">
        <v>10000</v>
      </c>
      <c r="F14" s="10">
        <f t="shared" si="0"/>
        <v>53000</v>
      </c>
      <c r="H14" s="37">
        <v>0</v>
      </c>
      <c r="I14" s="37"/>
    </row>
    <row r="15" spans="1:9" x14ac:dyDescent="0.25">
      <c r="A15" s="6">
        <v>1972</v>
      </c>
      <c r="B15" s="4">
        <v>16915.456290465729</v>
      </c>
      <c r="C15" s="4">
        <v>18445.316913336595</v>
      </c>
      <c r="D15" s="12">
        <v>12000</v>
      </c>
      <c r="E15" s="12">
        <v>500</v>
      </c>
      <c r="F15" s="10">
        <f t="shared" si="0"/>
        <v>47860.773203802324</v>
      </c>
      <c r="H15" s="37">
        <v>0</v>
      </c>
      <c r="I15" s="37"/>
    </row>
    <row r="16" spans="1:9" x14ac:dyDescent="0.25">
      <c r="A16" s="6">
        <v>1973</v>
      </c>
      <c r="B16" s="4">
        <v>1445.086269718432</v>
      </c>
      <c r="C16" s="4">
        <v>1575.7821650818009</v>
      </c>
      <c r="D16" s="4">
        <v>549.8647501158772</v>
      </c>
      <c r="E16" s="4">
        <v>518.00938695204718</v>
      </c>
      <c r="F16" s="10">
        <f t="shared" si="0"/>
        <v>4088.742571868157</v>
      </c>
      <c r="H16" s="37">
        <v>0</v>
      </c>
      <c r="I16" s="37"/>
    </row>
    <row r="17" spans="1:9" x14ac:dyDescent="0.25">
      <c r="A17" s="6">
        <v>1974</v>
      </c>
      <c r="B17" s="4">
        <v>9472.6555227444132</v>
      </c>
      <c r="C17" s="4">
        <v>10329.377471542784</v>
      </c>
      <c r="D17" s="12">
        <v>1000</v>
      </c>
      <c r="E17" s="12">
        <v>6000</v>
      </c>
      <c r="F17" s="10">
        <f t="shared" si="0"/>
        <v>26802.032994287198</v>
      </c>
      <c r="H17" s="37">
        <v>0</v>
      </c>
      <c r="I17" s="37"/>
    </row>
    <row r="18" spans="1:9" x14ac:dyDescent="0.25">
      <c r="A18" s="6">
        <v>1975</v>
      </c>
      <c r="B18" s="4">
        <v>6419.4177374683859</v>
      </c>
      <c r="C18" s="12">
        <v>7000</v>
      </c>
      <c r="D18" s="4">
        <v>2442.6303478356213</v>
      </c>
      <c r="E18" s="4">
        <v>2301.1212163318569</v>
      </c>
      <c r="F18" s="10">
        <f t="shared" si="0"/>
        <v>18163.169301635862</v>
      </c>
      <c r="H18" s="37">
        <v>658</v>
      </c>
      <c r="I18" s="37"/>
    </row>
    <row r="19" spans="1:9" x14ac:dyDescent="0.25">
      <c r="A19" s="6">
        <v>1976</v>
      </c>
      <c r="B19" s="4">
        <v>5412.9460127734301</v>
      </c>
      <c r="C19" s="4">
        <v>5902.5014121777776</v>
      </c>
      <c r="D19" s="12">
        <v>1000</v>
      </c>
      <c r="E19" s="12">
        <v>3000</v>
      </c>
      <c r="F19" s="10">
        <f t="shared" si="0"/>
        <v>15315.447424951208</v>
      </c>
      <c r="H19" s="37">
        <v>0</v>
      </c>
      <c r="I19" s="37"/>
    </row>
    <row r="20" spans="1:9" x14ac:dyDescent="0.25">
      <c r="A20" s="6">
        <v>1977</v>
      </c>
      <c r="B20" s="12">
        <v>20000</v>
      </c>
      <c r="C20" s="12">
        <v>4000</v>
      </c>
      <c r="D20" s="12">
        <v>8000</v>
      </c>
      <c r="E20" s="4">
        <v>4642.2680383974057</v>
      </c>
      <c r="F20" s="10">
        <f t="shared" si="0"/>
        <v>36642.268038397408</v>
      </c>
      <c r="H20" s="37">
        <v>6910</v>
      </c>
      <c r="I20" s="37"/>
    </row>
    <row r="21" spans="1:9" x14ac:dyDescent="0.25">
      <c r="A21" s="6">
        <v>1978</v>
      </c>
      <c r="B21" s="12">
        <v>20000</v>
      </c>
      <c r="C21" s="12">
        <v>20000</v>
      </c>
      <c r="D21" s="12">
        <v>14000</v>
      </c>
      <c r="E21" s="12">
        <v>30000</v>
      </c>
      <c r="F21" s="10">
        <f t="shared" si="0"/>
        <v>84000</v>
      </c>
      <c r="H21" s="37">
        <v>0</v>
      </c>
      <c r="I21" s="37"/>
    </row>
    <row r="22" spans="1:9" x14ac:dyDescent="0.25">
      <c r="A22" s="6">
        <v>1979</v>
      </c>
      <c r="B22" s="12">
        <v>85000</v>
      </c>
      <c r="C22" s="12">
        <v>43000</v>
      </c>
      <c r="D22" s="12">
        <v>15000</v>
      </c>
      <c r="E22" s="12">
        <v>17000</v>
      </c>
      <c r="F22" s="10">
        <f t="shared" si="0"/>
        <v>160000</v>
      </c>
      <c r="H22" s="37">
        <v>239014</v>
      </c>
      <c r="I22" s="37"/>
    </row>
    <row r="23" spans="1:9" x14ac:dyDescent="0.25">
      <c r="A23" s="6">
        <v>1980</v>
      </c>
      <c r="B23" s="12">
        <v>23700</v>
      </c>
      <c r="C23" s="12">
        <v>15800</v>
      </c>
      <c r="D23" s="12">
        <v>8690</v>
      </c>
      <c r="E23" s="12">
        <v>14615</v>
      </c>
      <c r="F23" s="10">
        <f t="shared" si="0"/>
        <v>62805</v>
      </c>
      <c r="H23" s="37">
        <v>148541</v>
      </c>
      <c r="I23" s="37"/>
    </row>
    <row r="24" spans="1:9" x14ac:dyDescent="0.25">
      <c r="A24" s="6">
        <v>1981</v>
      </c>
      <c r="B24" s="12">
        <v>39500</v>
      </c>
      <c r="C24" s="12">
        <v>15800</v>
      </c>
      <c r="D24" s="12">
        <v>12640</v>
      </c>
      <c r="E24" s="12">
        <v>15800</v>
      </c>
      <c r="F24" s="10">
        <f t="shared" si="0"/>
        <v>83740</v>
      </c>
      <c r="H24" s="37">
        <v>7272</v>
      </c>
      <c r="I24" s="37"/>
    </row>
    <row r="25" spans="1:9" x14ac:dyDescent="0.25">
      <c r="A25" s="6">
        <v>1982</v>
      </c>
      <c r="B25" s="12">
        <v>47400</v>
      </c>
      <c r="C25" s="12">
        <v>39500</v>
      </c>
      <c r="D25" s="12">
        <v>18170</v>
      </c>
      <c r="E25" s="12">
        <v>15800</v>
      </c>
      <c r="F25" s="10">
        <f t="shared" si="0"/>
        <v>120870</v>
      </c>
      <c r="H25" s="37">
        <v>383915</v>
      </c>
      <c r="I25" s="37"/>
    </row>
    <row r="26" spans="1:9" x14ac:dyDescent="0.25">
      <c r="A26" s="6">
        <v>1983</v>
      </c>
      <c r="B26" s="12">
        <v>20382</v>
      </c>
      <c r="C26" s="12">
        <v>28598</v>
      </c>
      <c r="D26" s="12">
        <v>8690</v>
      </c>
      <c r="E26" s="12">
        <v>3950</v>
      </c>
      <c r="F26" s="10">
        <f t="shared" si="0"/>
        <v>61620</v>
      </c>
      <c r="H26" s="37">
        <v>33104</v>
      </c>
      <c r="I26" s="37"/>
    </row>
    <row r="27" spans="1:9" x14ac:dyDescent="0.25">
      <c r="A27" s="6">
        <v>1984</v>
      </c>
      <c r="B27" s="12">
        <v>23700</v>
      </c>
      <c r="C27" s="12">
        <v>23700</v>
      </c>
      <c r="D27" s="12">
        <v>10270</v>
      </c>
      <c r="E27" s="12">
        <v>7900</v>
      </c>
      <c r="F27" s="10">
        <f t="shared" si="0"/>
        <v>65570</v>
      </c>
      <c r="H27" s="37">
        <v>137779</v>
      </c>
      <c r="I27" s="37"/>
    </row>
    <row r="28" spans="1:9" x14ac:dyDescent="0.25">
      <c r="A28" s="6">
        <v>1985</v>
      </c>
      <c r="B28" s="12">
        <v>11850</v>
      </c>
      <c r="C28" s="12">
        <v>30415</v>
      </c>
      <c r="D28" s="12">
        <v>17380</v>
      </c>
      <c r="E28" s="12">
        <v>7900</v>
      </c>
      <c r="F28" s="10">
        <f t="shared" si="0"/>
        <v>67545</v>
      </c>
      <c r="H28" s="37">
        <v>69764</v>
      </c>
      <c r="I28" s="37"/>
    </row>
    <row r="29" spans="1:9" x14ac:dyDescent="0.25">
      <c r="A29" s="6">
        <v>1986</v>
      </c>
      <c r="B29" s="12">
        <v>3950</v>
      </c>
      <c r="C29" s="12">
        <v>5925</v>
      </c>
      <c r="D29" s="12">
        <v>3555</v>
      </c>
      <c r="E29" s="4">
        <v>1948.3018673652591</v>
      </c>
      <c r="F29" s="10">
        <f t="shared" si="0"/>
        <v>15378.301867365259</v>
      </c>
      <c r="H29" s="37">
        <v>0</v>
      </c>
      <c r="I29" s="37"/>
    </row>
    <row r="30" spans="1:9" x14ac:dyDescent="0.25">
      <c r="A30" s="6">
        <v>1987</v>
      </c>
      <c r="B30" s="12">
        <v>3950</v>
      </c>
      <c r="C30" s="12">
        <v>6478</v>
      </c>
      <c r="D30" s="12">
        <v>2370</v>
      </c>
      <c r="E30" s="12">
        <v>1975</v>
      </c>
      <c r="F30" s="10">
        <f t="shared" si="0"/>
        <v>14773</v>
      </c>
      <c r="H30" s="37">
        <v>0</v>
      </c>
      <c r="I30" s="37"/>
    </row>
    <row r="31" spans="1:9" x14ac:dyDescent="0.25">
      <c r="A31" s="6">
        <v>1988</v>
      </c>
      <c r="B31" s="12">
        <v>4740</v>
      </c>
      <c r="C31" s="12">
        <v>5925</v>
      </c>
      <c r="D31" s="12">
        <v>3950</v>
      </c>
      <c r="E31" s="12">
        <v>158</v>
      </c>
      <c r="F31" s="10">
        <f t="shared" si="0"/>
        <v>14773</v>
      </c>
      <c r="H31" s="37">
        <v>0</v>
      </c>
      <c r="I31" s="37"/>
    </row>
    <row r="32" spans="1:9" x14ac:dyDescent="0.25">
      <c r="A32" s="6">
        <v>1989</v>
      </c>
      <c r="B32" s="12">
        <v>5530</v>
      </c>
      <c r="C32" s="12">
        <v>7900</v>
      </c>
      <c r="D32" s="12">
        <v>4108</v>
      </c>
      <c r="E32" s="12">
        <v>7110</v>
      </c>
      <c r="F32" s="10">
        <f t="shared" si="0"/>
        <v>24648</v>
      </c>
      <c r="H32" s="37">
        <v>0</v>
      </c>
      <c r="I32" s="37"/>
    </row>
    <row r="33" spans="1:14" x14ac:dyDescent="0.25">
      <c r="A33" s="6">
        <v>1990</v>
      </c>
      <c r="B33" s="12">
        <v>7900</v>
      </c>
      <c r="C33" s="12">
        <v>20540</v>
      </c>
      <c r="D33" s="12">
        <v>7900</v>
      </c>
      <c r="E33" s="12">
        <v>7900</v>
      </c>
      <c r="F33" s="10">
        <f t="shared" si="0"/>
        <v>44240</v>
      </c>
      <c r="H33" s="37">
        <v>20436</v>
      </c>
      <c r="I33" s="37"/>
    </row>
    <row r="34" spans="1:14" x14ac:dyDescent="0.25">
      <c r="A34" s="6">
        <v>1991</v>
      </c>
      <c r="B34" s="12">
        <v>27650</v>
      </c>
      <c r="C34" s="12">
        <v>21330</v>
      </c>
      <c r="D34" s="12">
        <v>10270</v>
      </c>
      <c r="E34" s="12">
        <v>2765</v>
      </c>
      <c r="F34" s="10">
        <f t="shared" si="0"/>
        <v>62015</v>
      </c>
      <c r="H34" s="37">
        <v>70344</v>
      </c>
      <c r="I34" s="37"/>
    </row>
    <row r="35" spans="1:14" x14ac:dyDescent="0.25">
      <c r="A35" s="6">
        <v>1992</v>
      </c>
      <c r="B35" s="12">
        <v>31000</v>
      </c>
      <c r="C35" s="12">
        <v>41000</v>
      </c>
      <c r="D35" s="12">
        <v>500</v>
      </c>
      <c r="E35" s="12">
        <v>4000</v>
      </c>
      <c r="F35" s="10">
        <f t="shared" si="0"/>
        <v>76500</v>
      </c>
      <c r="H35" s="37">
        <v>329160</v>
      </c>
      <c r="I35" s="37"/>
    </row>
    <row r="36" spans="1:14" x14ac:dyDescent="0.25">
      <c r="A36" s="6">
        <v>1993</v>
      </c>
      <c r="B36" s="12">
        <v>43000</v>
      </c>
      <c r="C36" s="12">
        <v>45000</v>
      </c>
      <c r="D36" s="12">
        <v>21000</v>
      </c>
      <c r="E36" s="12">
        <v>13500</v>
      </c>
      <c r="F36" s="10">
        <f t="shared" si="0"/>
        <v>122500</v>
      </c>
      <c r="H36" s="37">
        <v>190886</v>
      </c>
      <c r="I36" s="37"/>
    </row>
    <row r="37" spans="1:14" x14ac:dyDescent="0.25">
      <c r="A37" s="6">
        <v>1994</v>
      </c>
      <c r="B37" s="12">
        <v>45030</v>
      </c>
      <c r="C37" s="12">
        <v>18960</v>
      </c>
      <c r="D37" s="12">
        <v>8000</v>
      </c>
      <c r="E37" s="12">
        <v>18170</v>
      </c>
      <c r="F37" s="10">
        <f t="shared" si="0"/>
        <v>90160</v>
      </c>
      <c r="H37" s="37">
        <v>750774</v>
      </c>
      <c r="I37" s="37"/>
    </row>
    <row r="38" spans="1:14" x14ac:dyDescent="0.25">
      <c r="A38" s="6">
        <v>1995</v>
      </c>
      <c r="B38" s="12">
        <v>85000</v>
      </c>
      <c r="C38" s="12">
        <v>52000</v>
      </c>
      <c r="D38" s="12">
        <v>20000</v>
      </c>
      <c r="E38" s="12">
        <v>29000</v>
      </c>
      <c r="F38" s="10">
        <f t="shared" si="0"/>
        <v>186000</v>
      </c>
      <c r="H38" s="37">
        <v>470103</v>
      </c>
      <c r="I38" s="37"/>
    </row>
    <row r="39" spans="1:14" x14ac:dyDescent="0.25">
      <c r="A39" s="6">
        <v>1996</v>
      </c>
      <c r="B39" s="12">
        <v>56000</v>
      </c>
      <c r="C39" s="12">
        <v>153000</v>
      </c>
      <c r="D39" s="12">
        <v>23000</v>
      </c>
      <c r="E39" s="12">
        <v>6000</v>
      </c>
      <c r="F39" s="10">
        <f t="shared" si="0"/>
        <v>238000</v>
      </c>
      <c r="H39" s="37">
        <v>414140</v>
      </c>
      <c r="I39" s="37"/>
    </row>
    <row r="40" spans="1:14" x14ac:dyDescent="0.25">
      <c r="A40" s="6">
        <v>1997</v>
      </c>
      <c r="B40" s="12">
        <v>17000</v>
      </c>
      <c r="C40" s="12">
        <v>88500</v>
      </c>
      <c r="D40" s="12">
        <v>15000</v>
      </c>
      <c r="E40" s="12">
        <v>12000</v>
      </c>
      <c r="F40" s="10">
        <f t="shared" si="0"/>
        <v>132500</v>
      </c>
      <c r="H40" s="37">
        <v>235752</v>
      </c>
      <c r="I40" s="37"/>
    </row>
    <row r="41" spans="1:14" x14ac:dyDescent="0.25">
      <c r="A41" s="7">
        <v>1998</v>
      </c>
      <c r="B41" s="5">
        <v>25000</v>
      </c>
      <c r="C41" s="5">
        <v>210000</v>
      </c>
      <c r="D41" s="5">
        <v>24000</v>
      </c>
      <c r="E41" s="5">
        <v>21000</v>
      </c>
      <c r="F41" s="10">
        <f t="shared" si="0"/>
        <v>280000</v>
      </c>
      <c r="H41" s="37">
        <v>530391</v>
      </c>
      <c r="I41" s="37"/>
    </row>
    <row r="42" spans="1:14" x14ac:dyDescent="0.25">
      <c r="A42" s="8">
        <v>1999</v>
      </c>
      <c r="B42" s="5">
        <v>65000</v>
      </c>
      <c r="C42" s="5">
        <v>126000</v>
      </c>
      <c r="D42" s="5">
        <v>30000</v>
      </c>
      <c r="E42" s="5">
        <v>30000</v>
      </c>
      <c r="F42" s="10">
        <f t="shared" si="0"/>
        <v>251000</v>
      </c>
      <c r="H42" s="37">
        <v>192758</v>
      </c>
      <c r="I42" s="37"/>
    </row>
    <row r="43" spans="1:14" x14ac:dyDescent="0.25">
      <c r="A43" s="8">
        <v>2000</v>
      </c>
      <c r="B43" s="4">
        <v>67342.415026554168</v>
      </c>
      <c r="C43" s="5">
        <v>35000</v>
      </c>
      <c r="D43" s="5">
        <v>12000</v>
      </c>
      <c r="E43" s="5">
        <v>4500</v>
      </c>
      <c r="F43" s="10">
        <f t="shared" si="0"/>
        <v>118842.41502655417</v>
      </c>
      <c r="H43" s="37">
        <v>0</v>
      </c>
      <c r="I43" s="37"/>
    </row>
    <row r="44" spans="1:14" x14ac:dyDescent="0.25">
      <c r="A44" s="8">
        <v>2001</v>
      </c>
      <c r="B44" s="5">
        <v>40000</v>
      </c>
      <c r="C44" s="5">
        <v>36000</v>
      </c>
      <c r="D44" s="5">
        <v>14000</v>
      </c>
      <c r="E44" s="5">
        <v>6000</v>
      </c>
      <c r="F44" s="10">
        <f t="shared" si="0"/>
        <v>96000</v>
      </c>
      <c r="H44" s="37">
        <v>82866</v>
      </c>
      <c r="I44" s="37"/>
    </row>
    <row r="45" spans="1:14" x14ac:dyDescent="0.25">
      <c r="A45" s="9">
        <v>2002</v>
      </c>
      <c r="B45" s="5">
        <v>5000</v>
      </c>
      <c r="C45" s="5">
        <v>18000</v>
      </c>
      <c r="D45" s="5">
        <v>24200</v>
      </c>
      <c r="E45" s="5">
        <v>23595</v>
      </c>
      <c r="F45" s="10">
        <f t="shared" si="0"/>
        <v>70795</v>
      </c>
      <c r="H45" s="37">
        <v>4777</v>
      </c>
      <c r="I45" s="37"/>
      <c r="L45" t="s">
        <v>338</v>
      </c>
      <c r="M45" t="s">
        <v>336</v>
      </c>
      <c r="N45" t="s">
        <v>337</v>
      </c>
    </row>
    <row r="46" spans="1:14" x14ac:dyDescent="0.25">
      <c r="A46" s="9">
        <v>2003</v>
      </c>
      <c r="B46" s="5">
        <v>12600</v>
      </c>
      <c r="C46" s="5">
        <v>15210</v>
      </c>
      <c r="D46" s="5">
        <v>14040</v>
      </c>
      <c r="E46" s="5">
        <v>18720</v>
      </c>
      <c r="F46" s="10">
        <f t="shared" si="0"/>
        <v>60570</v>
      </c>
      <c r="H46" s="37">
        <v>6362</v>
      </c>
      <c r="I46" s="37"/>
      <c r="K46">
        <v>2006</v>
      </c>
      <c r="L46">
        <v>159000</v>
      </c>
      <c r="M46">
        <v>70000</v>
      </c>
      <c r="N46">
        <v>160000</v>
      </c>
    </row>
    <row r="47" spans="1:14" x14ac:dyDescent="0.25">
      <c r="A47" s="8">
        <v>2004</v>
      </c>
      <c r="B47" s="13">
        <v>2100</v>
      </c>
      <c r="C47" s="5">
        <v>4300</v>
      </c>
      <c r="D47" s="5">
        <v>14500</v>
      </c>
      <c r="E47" s="5">
        <v>28000</v>
      </c>
      <c r="F47" s="10">
        <f t="shared" si="0"/>
        <v>48900</v>
      </c>
      <c r="H47" s="37">
        <v>0</v>
      </c>
      <c r="I47" s="37"/>
      <c r="K47">
        <v>2008</v>
      </c>
      <c r="L47">
        <v>36446</v>
      </c>
      <c r="M47">
        <v>70000</v>
      </c>
      <c r="N47">
        <v>160000</v>
      </c>
    </row>
    <row r="48" spans="1:14" x14ac:dyDescent="0.25">
      <c r="A48" s="8">
        <v>2005</v>
      </c>
      <c r="B48" s="5">
        <v>61000</v>
      </c>
      <c r="C48" s="5">
        <v>50000</v>
      </c>
      <c r="D48" s="5">
        <v>26000</v>
      </c>
      <c r="E48" s="5">
        <v>48000</v>
      </c>
      <c r="F48" s="10">
        <f t="shared" si="0"/>
        <v>185000</v>
      </c>
      <c r="H48" s="37">
        <v>9522</v>
      </c>
      <c r="I48" s="37"/>
      <c r="K48">
        <v>2010</v>
      </c>
      <c r="L48">
        <v>53000</v>
      </c>
      <c r="M48">
        <v>70000</v>
      </c>
      <c r="N48">
        <v>160000</v>
      </c>
    </row>
    <row r="49" spans="1:14" x14ac:dyDescent="0.25">
      <c r="A49" s="9">
        <v>2006</v>
      </c>
      <c r="B49" s="11">
        <v>31000</v>
      </c>
      <c r="C49" s="11">
        <v>28000</v>
      </c>
      <c r="D49" s="11">
        <v>52000</v>
      </c>
      <c r="E49" s="11">
        <v>48000</v>
      </c>
      <c r="F49" s="10">
        <f>SUM(B49:E49)</f>
        <v>159000</v>
      </c>
      <c r="H49" s="37">
        <v>6603</v>
      </c>
      <c r="I49" s="37"/>
      <c r="K49">
        <v>2012</v>
      </c>
      <c r="L49">
        <v>28500</v>
      </c>
      <c r="M49">
        <v>70000</v>
      </c>
      <c r="N49">
        <v>160000</v>
      </c>
    </row>
    <row r="50" spans="1:14" x14ac:dyDescent="0.25">
      <c r="A50" s="9">
        <v>2007</v>
      </c>
      <c r="B50" s="11">
        <v>54000</v>
      </c>
      <c r="C50" s="11">
        <v>22000</v>
      </c>
      <c r="D50" s="11">
        <v>28000</v>
      </c>
      <c r="E50" s="11">
        <v>24000</v>
      </c>
      <c r="F50" s="10">
        <f t="shared" si="0"/>
        <v>128000</v>
      </c>
      <c r="H50" s="37">
        <v>51681</v>
      </c>
      <c r="I50" s="37"/>
    </row>
    <row r="51" spans="1:14" x14ac:dyDescent="0.25">
      <c r="A51" s="9">
        <v>2008</v>
      </c>
      <c r="B51" s="40">
        <v>12561</v>
      </c>
      <c r="C51" s="11">
        <v>15000</v>
      </c>
      <c r="D51" s="40">
        <v>5885</v>
      </c>
      <c r="E51" s="11">
        <v>3000</v>
      </c>
      <c r="F51" s="10">
        <f t="shared" si="0"/>
        <v>36446</v>
      </c>
      <c r="H51" s="69">
        <v>0</v>
      </c>
      <c r="I51" s="69"/>
    </row>
    <row r="52" spans="1:14" ht="13.8" thickBot="1" x14ac:dyDescent="0.3">
      <c r="A52" s="9">
        <v>2009</v>
      </c>
      <c r="B52" s="11">
        <v>55000</v>
      </c>
      <c r="C52" s="11">
        <v>54000</v>
      </c>
      <c r="D52" s="11">
        <v>21000</v>
      </c>
      <c r="E52" s="11">
        <v>14000</v>
      </c>
      <c r="F52" s="10">
        <f t="shared" si="0"/>
        <v>144000</v>
      </c>
      <c r="H52" s="70">
        <v>29144</v>
      </c>
      <c r="I52" s="70"/>
    </row>
    <row r="53" spans="1:14" x14ac:dyDescent="0.25">
      <c r="A53" s="9">
        <v>2010</v>
      </c>
      <c r="B53" s="11">
        <v>17000</v>
      </c>
      <c r="C53" s="11">
        <v>12000</v>
      </c>
      <c r="D53" s="11">
        <v>8000</v>
      </c>
      <c r="E53" s="11">
        <v>16000</v>
      </c>
      <c r="F53" s="10">
        <f t="shared" si="0"/>
        <v>53000</v>
      </c>
      <c r="H53" s="70">
        <v>0</v>
      </c>
      <c r="I53" s="192" t="s">
        <v>289</v>
      </c>
      <c r="J53" s="193"/>
    </row>
    <row r="54" spans="1:14" ht="13.8" thickBot="1" x14ac:dyDescent="0.3">
      <c r="A54" s="9">
        <v>2011</v>
      </c>
      <c r="B54" s="11">
        <v>103000</v>
      </c>
      <c r="C54" s="11">
        <v>21000</v>
      </c>
      <c r="D54" s="11">
        <v>26000</v>
      </c>
      <c r="E54" s="11">
        <v>36000</v>
      </c>
      <c r="F54" s="10">
        <f t="shared" si="0"/>
        <v>186000</v>
      </c>
      <c r="H54" s="70">
        <v>146875</v>
      </c>
      <c r="I54" s="50">
        <v>50000</v>
      </c>
      <c r="J54" s="51">
        <v>110000</v>
      </c>
    </row>
    <row r="55" spans="1:14" ht="13.8" thickBot="1" x14ac:dyDescent="0.3">
      <c r="A55" s="9">
        <v>2012</v>
      </c>
      <c r="B55" s="90">
        <v>6000</v>
      </c>
      <c r="C55" s="90">
        <v>9000</v>
      </c>
      <c r="D55" s="90">
        <v>6000</v>
      </c>
      <c r="E55" s="90">
        <v>7500</v>
      </c>
      <c r="F55" s="92">
        <f t="shared" si="0"/>
        <v>28500</v>
      </c>
      <c r="H55" s="70">
        <v>0</v>
      </c>
      <c r="I55" s="175">
        <v>70000</v>
      </c>
      <c r="J55" s="176">
        <v>160000</v>
      </c>
    </row>
    <row r="56" spans="1:14" x14ac:dyDescent="0.25">
      <c r="A56" s="9">
        <v>2013</v>
      </c>
      <c r="B56" s="90">
        <v>47000</v>
      </c>
      <c r="C56" s="90">
        <v>65000</v>
      </c>
      <c r="D56" s="90">
        <v>55000</v>
      </c>
      <c r="E56" s="90">
        <v>20000</v>
      </c>
      <c r="F56" s="92">
        <f t="shared" si="0"/>
        <v>187000</v>
      </c>
      <c r="H56" s="70">
        <v>104149</v>
      </c>
      <c r="I56" s="30"/>
      <c r="J56" s="30"/>
    </row>
    <row r="57" spans="1:14" x14ac:dyDescent="0.25">
      <c r="A57" s="9">
        <v>2014</v>
      </c>
      <c r="B57" s="90">
        <v>80000</v>
      </c>
      <c r="C57" s="90">
        <v>7000</v>
      </c>
      <c r="D57" s="90">
        <v>21000</v>
      </c>
      <c r="E57" s="90">
        <v>10000</v>
      </c>
      <c r="F57" s="92">
        <f t="shared" si="0"/>
        <v>118000</v>
      </c>
      <c r="H57" s="70">
        <v>0</v>
      </c>
      <c r="I57" s="30"/>
      <c r="J57" s="30"/>
    </row>
    <row r="58" spans="1:14" x14ac:dyDescent="0.25">
      <c r="A58" s="9">
        <v>2015</v>
      </c>
      <c r="B58" s="90">
        <v>60000</v>
      </c>
      <c r="C58" s="90">
        <v>43000</v>
      </c>
      <c r="D58" s="90">
        <v>12000</v>
      </c>
      <c r="E58" s="90">
        <v>10000</v>
      </c>
      <c r="F58" s="92">
        <f t="shared" ref="F58:F67" si="1">SUM(B58:E58)</f>
        <v>125000</v>
      </c>
      <c r="H58" s="70">
        <v>0</v>
      </c>
      <c r="I58" s="30"/>
      <c r="J58" s="30"/>
    </row>
    <row r="59" spans="1:14" x14ac:dyDescent="0.25">
      <c r="A59" s="9">
        <v>2016</v>
      </c>
      <c r="B59" s="90">
        <v>40000</v>
      </c>
      <c r="C59" s="90">
        <v>10000</v>
      </c>
      <c r="D59" s="90">
        <v>13000</v>
      </c>
      <c r="E59" s="90">
        <v>8000</v>
      </c>
      <c r="F59" s="92">
        <f t="shared" si="1"/>
        <v>71000</v>
      </c>
      <c r="G59" s="65"/>
      <c r="H59" s="132">
        <v>0</v>
      </c>
      <c r="I59" s="30"/>
      <c r="J59" s="30"/>
    </row>
    <row r="60" spans="1:14" x14ac:dyDescent="0.25">
      <c r="A60" s="9">
        <v>2017</v>
      </c>
      <c r="B60" s="11">
        <v>170000</v>
      </c>
      <c r="C60" s="11">
        <v>60000</v>
      </c>
      <c r="D60" s="11">
        <v>46000</v>
      </c>
      <c r="E60" s="11">
        <v>41000</v>
      </c>
      <c r="F60" s="11">
        <f t="shared" si="1"/>
        <v>317000</v>
      </c>
      <c r="H60" s="132">
        <v>0</v>
      </c>
      <c r="I60" s="30"/>
      <c r="J60" s="30"/>
    </row>
    <row r="61" spans="1:14" x14ac:dyDescent="0.25">
      <c r="A61" s="9">
        <v>2018</v>
      </c>
      <c r="B61" s="11">
        <v>2500</v>
      </c>
      <c r="C61" s="11">
        <v>1100</v>
      </c>
      <c r="D61" s="11">
        <v>2100</v>
      </c>
      <c r="E61" s="11">
        <v>1500</v>
      </c>
      <c r="F61" s="92">
        <f t="shared" si="1"/>
        <v>7200</v>
      </c>
      <c r="H61" s="132">
        <v>0</v>
      </c>
      <c r="I61" s="30"/>
      <c r="J61" s="30"/>
    </row>
    <row r="62" spans="1:14" x14ac:dyDescent="0.25">
      <c r="A62" s="9">
        <v>2019</v>
      </c>
      <c r="B62" s="11">
        <v>50000</v>
      </c>
      <c r="C62" s="11">
        <v>17900</v>
      </c>
      <c r="D62" s="11">
        <v>15000</v>
      </c>
      <c r="E62" s="11">
        <v>22200</v>
      </c>
      <c r="F62" s="92">
        <f t="shared" si="1"/>
        <v>105100</v>
      </c>
      <c r="H62" s="132">
        <v>0</v>
      </c>
      <c r="I62" s="30"/>
      <c r="J62" s="30"/>
    </row>
    <row r="63" spans="1:14" x14ac:dyDescent="0.25">
      <c r="A63" s="9">
        <v>2020</v>
      </c>
      <c r="B63" s="11">
        <v>32000</v>
      </c>
      <c r="C63" s="11">
        <v>8000</v>
      </c>
      <c r="D63" s="11">
        <v>4000</v>
      </c>
      <c r="E63" s="11">
        <v>5000</v>
      </c>
      <c r="F63" s="92">
        <f t="shared" si="1"/>
        <v>49000</v>
      </c>
      <c r="H63" s="132">
        <v>0</v>
      </c>
      <c r="I63" s="30"/>
      <c r="J63" s="30"/>
    </row>
    <row r="64" spans="1:14" x14ac:dyDescent="0.25">
      <c r="A64" s="9">
        <v>2021</v>
      </c>
      <c r="B64" s="11">
        <v>20000</v>
      </c>
      <c r="C64" s="11">
        <v>7000</v>
      </c>
      <c r="D64" s="11">
        <v>17000</v>
      </c>
      <c r="E64" s="11">
        <v>4000</v>
      </c>
      <c r="F64" s="92">
        <f t="shared" si="1"/>
        <v>48000</v>
      </c>
      <c r="H64" s="132">
        <v>0</v>
      </c>
      <c r="I64" s="30"/>
      <c r="J64" s="30"/>
    </row>
    <row r="65" spans="1:10" x14ac:dyDescent="0.25">
      <c r="A65" s="9">
        <v>2022</v>
      </c>
      <c r="B65" s="11">
        <v>16000</v>
      </c>
      <c r="C65" s="11">
        <v>2000</v>
      </c>
      <c r="D65" s="11">
        <v>9000</v>
      </c>
      <c r="E65" s="11">
        <v>5000</v>
      </c>
      <c r="F65" s="92">
        <f t="shared" si="1"/>
        <v>32000</v>
      </c>
      <c r="H65" s="93">
        <v>0</v>
      </c>
      <c r="I65" s="30"/>
      <c r="J65" s="30"/>
    </row>
    <row r="66" spans="1:10" x14ac:dyDescent="0.25">
      <c r="A66" s="9">
        <v>2023</v>
      </c>
      <c r="B66" s="11">
        <v>55000</v>
      </c>
      <c r="C66" s="11">
        <v>12000</v>
      </c>
      <c r="D66" s="11">
        <v>15000</v>
      </c>
      <c r="E66" s="11">
        <v>9000</v>
      </c>
      <c r="F66" s="92">
        <f t="shared" si="1"/>
        <v>91000</v>
      </c>
      <c r="H66" s="93"/>
      <c r="I66" s="30"/>
      <c r="J66" s="30"/>
    </row>
    <row r="67" spans="1:10" x14ac:dyDescent="0.25">
      <c r="A67" s="9">
        <v>2024</v>
      </c>
      <c r="B67" s="108">
        <v>7000</v>
      </c>
      <c r="C67" s="108">
        <v>5000</v>
      </c>
      <c r="D67" s="108">
        <v>21000</v>
      </c>
      <c r="E67" s="108">
        <v>5000</v>
      </c>
      <c r="F67" s="92">
        <f t="shared" si="1"/>
        <v>38000</v>
      </c>
      <c r="H67" s="93"/>
      <c r="I67" s="30"/>
      <c r="J67" s="30"/>
    </row>
    <row r="68" spans="1:10" ht="13.8" x14ac:dyDescent="0.25">
      <c r="A68" s="66" t="s">
        <v>108</v>
      </c>
      <c r="B68" s="128">
        <f>AVERAGE(B3:B67)</f>
        <v>29088.758145230779</v>
      </c>
      <c r="C68" s="128">
        <f>AVERAGE(C3:C67)</f>
        <v>26406.60061962124</v>
      </c>
      <c r="D68" s="128">
        <f>AVERAGE(D3:D67)</f>
        <v>12659.696704229673</v>
      </c>
      <c r="E68" s="128">
        <f>AVERAGE(E3:E67)</f>
        <v>11377.453726502819</v>
      </c>
      <c r="F68" s="128">
        <f>AVERAGE(F3:F64)</f>
        <v>80784.082221177319</v>
      </c>
      <c r="G68" s="130"/>
      <c r="H68" s="128">
        <f>AVERAGE(H3:H63)</f>
        <v>77914.704918032789</v>
      </c>
      <c r="I68" s="33"/>
    </row>
    <row r="69" spans="1:10" ht="13.8" x14ac:dyDescent="0.25">
      <c r="A69" s="22" t="s">
        <v>360</v>
      </c>
      <c r="B69" s="92">
        <f>AVERAGE(B57:B66)</f>
        <v>52550</v>
      </c>
      <c r="C69" s="92">
        <f t="shared" ref="C69:F69" si="2">AVERAGE(C57:C66)</f>
        <v>16800</v>
      </c>
      <c r="D69" s="92">
        <f t="shared" si="2"/>
        <v>15410</v>
      </c>
      <c r="E69" s="92">
        <f t="shared" si="2"/>
        <v>11570</v>
      </c>
      <c r="F69" s="92">
        <f t="shared" si="2"/>
        <v>96330</v>
      </c>
      <c r="G69" s="92"/>
      <c r="H69" s="92">
        <f>AVERAGE(H57:H66)</f>
        <v>0</v>
      </c>
      <c r="I69" s="33"/>
    </row>
    <row r="70" spans="1:10" ht="13.8" x14ac:dyDescent="0.25">
      <c r="A70" s="22" t="s">
        <v>361</v>
      </c>
      <c r="B70" s="96" t="e">
        <f>RANK(B67,B5:B66)</f>
        <v>#N/A</v>
      </c>
      <c r="C70" s="96" t="e">
        <f>RANK(C67,C5:C66)</f>
        <v>#N/A</v>
      </c>
      <c r="D70" s="96">
        <f t="shared" ref="D70:H70" si="3">RANK(D67,D5:D66)</f>
        <v>11</v>
      </c>
      <c r="E70" s="96">
        <f t="shared" si="3"/>
        <v>37</v>
      </c>
      <c r="F70" s="96" t="e">
        <f t="shared" si="3"/>
        <v>#N/A</v>
      </c>
      <c r="G70" s="96"/>
      <c r="H70" s="96">
        <f t="shared" si="3"/>
        <v>36</v>
      </c>
      <c r="I70" s="96"/>
    </row>
    <row r="71" spans="1:10" ht="13.8" x14ac:dyDescent="0.25">
      <c r="A71" s="23" t="s">
        <v>362</v>
      </c>
      <c r="B71" s="129">
        <f>B67/B69</f>
        <v>0.13320647002854424</v>
      </c>
      <c r="C71" s="129">
        <f t="shared" ref="C71:H71" si="4">C67/C69</f>
        <v>0.29761904761904762</v>
      </c>
      <c r="D71" s="129">
        <f t="shared" si="4"/>
        <v>1.3627514600908501</v>
      </c>
      <c r="E71" s="129">
        <f t="shared" si="4"/>
        <v>0.43215211754537597</v>
      </c>
      <c r="F71" s="129">
        <f t="shared" si="4"/>
        <v>0.39447731755424065</v>
      </c>
      <c r="G71" s="129"/>
      <c r="H71" s="129" t="e">
        <f t="shared" si="4"/>
        <v>#DIV/0!</v>
      </c>
      <c r="I71" s="49"/>
    </row>
    <row r="74" spans="1:10" x14ac:dyDescent="0.25">
      <c r="B74" s="41" t="s">
        <v>149</v>
      </c>
    </row>
    <row r="76" spans="1:10" ht="13.8" x14ac:dyDescent="0.25">
      <c r="A76" s="158" t="s">
        <v>344</v>
      </c>
    </row>
    <row r="77" spans="1:10" ht="13.8" x14ac:dyDescent="0.25">
      <c r="A77" s="159" t="s">
        <v>345</v>
      </c>
    </row>
    <row r="78" spans="1:10" ht="13.8" x14ac:dyDescent="0.25">
      <c r="A78" s="160" t="s">
        <v>346</v>
      </c>
    </row>
    <row r="79" spans="1:10" x14ac:dyDescent="0.25">
      <c r="A79" s="179" t="s">
        <v>355</v>
      </c>
    </row>
  </sheetData>
  <mergeCells count="1">
    <mergeCell ref="I53:J53"/>
  </mergeCells>
  <phoneticPr fontId="10" type="noConversion"/>
  <pageMargins left="0.75" right="0.3" top="1" bottom="1" header="0.5" footer="0.5"/>
  <pageSetup scale="63" orientation="portrait" r:id="rId1"/>
  <headerFooter alignWithMargins="0">
    <oddFooter>&amp;A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92D050"/>
    <pageSetUpPr fitToPage="1"/>
  </sheetPr>
  <dimension ref="A1:I77"/>
  <sheetViews>
    <sheetView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C67" sqref="C67"/>
    </sheetView>
  </sheetViews>
  <sheetFormatPr defaultRowHeight="13.2" x14ac:dyDescent="0.25"/>
  <cols>
    <col min="1" max="1" width="22.5546875" bestFit="1" customWidth="1"/>
    <col min="2" max="2" width="12.6640625" bestFit="1" customWidth="1"/>
    <col min="3" max="3" width="21.6640625" customWidth="1"/>
    <col min="4" max="4" width="11.88671875" customWidth="1"/>
    <col min="5" max="5" width="2.33203125" style="28" customWidth="1"/>
    <col min="6" max="6" width="12.109375" style="14" customWidth="1"/>
    <col min="7" max="7" width="10.44140625" style="14" customWidth="1"/>
    <col min="8" max="8" width="10.44140625" bestFit="1" customWidth="1"/>
    <col min="9" max="9" width="11.44140625" bestFit="1" customWidth="1"/>
    <col min="11" max="11" width="11.33203125" bestFit="1" customWidth="1"/>
  </cols>
  <sheetData>
    <row r="1" spans="1:7" s="14" customFormat="1" x14ac:dyDescent="0.25">
      <c r="B1" s="38" t="s">
        <v>0</v>
      </c>
      <c r="C1" s="38" t="s">
        <v>1</v>
      </c>
      <c r="E1" s="29"/>
    </row>
    <row r="2" spans="1:7" s="14" customFormat="1" x14ac:dyDescent="0.25">
      <c r="B2" s="14" t="s">
        <v>2</v>
      </c>
      <c r="C2" s="15" t="s">
        <v>3</v>
      </c>
      <c r="D2" s="26" t="s">
        <v>4</v>
      </c>
      <c r="E2" s="29"/>
      <c r="F2" s="26" t="s">
        <v>140</v>
      </c>
      <c r="G2" s="26"/>
    </row>
    <row r="3" spans="1:7" x14ac:dyDescent="0.25">
      <c r="A3" s="6">
        <v>1960</v>
      </c>
      <c r="B3" s="4">
        <v>313.07033863104425</v>
      </c>
      <c r="C3" s="4">
        <v>9149.9539974708168</v>
      </c>
      <c r="D3" s="11">
        <f>SUM(B3:C3)</f>
        <v>9463.024336101862</v>
      </c>
      <c r="F3" s="37">
        <v>1902</v>
      </c>
      <c r="G3" s="37"/>
    </row>
    <row r="4" spans="1:7" x14ac:dyDescent="0.25">
      <c r="A4" s="6">
        <v>1961</v>
      </c>
      <c r="B4" s="4">
        <v>1489.5195951249618</v>
      </c>
      <c r="C4" s="4">
        <v>43533.462267418094</v>
      </c>
      <c r="D4" s="11">
        <f t="shared" ref="D4:D57" si="0">SUM(B4:C4)</f>
        <v>45022.981862543056</v>
      </c>
      <c r="F4" s="37">
        <v>0</v>
      </c>
      <c r="G4" s="37"/>
    </row>
    <row r="5" spans="1:7" x14ac:dyDescent="0.25">
      <c r="A5" s="6">
        <v>1962</v>
      </c>
      <c r="B5" s="4">
        <v>608.71671935469089</v>
      </c>
      <c r="C5" s="4">
        <v>17790.666480798634</v>
      </c>
      <c r="D5" s="11">
        <f t="shared" si="0"/>
        <v>18399.383200153326</v>
      </c>
      <c r="F5" s="37">
        <v>8408</v>
      </c>
      <c r="G5" s="37"/>
    </row>
    <row r="6" spans="1:7" x14ac:dyDescent="0.25">
      <c r="A6" s="6">
        <v>1963</v>
      </c>
      <c r="B6" s="12">
        <v>3000</v>
      </c>
      <c r="C6" s="12">
        <v>37000</v>
      </c>
      <c r="D6" s="11">
        <f t="shared" si="0"/>
        <v>40000</v>
      </c>
      <c r="F6" s="37">
        <v>21109</v>
      </c>
      <c r="G6" s="37"/>
    </row>
    <row r="7" spans="1:7" x14ac:dyDescent="0.25">
      <c r="A7" s="6">
        <v>1964</v>
      </c>
      <c r="B7" s="4">
        <v>171.07753073310172</v>
      </c>
      <c r="C7" s="12">
        <v>5000</v>
      </c>
      <c r="D7" s="11">
        <f t="shared" si="0"/>
        <v>5171.0775307331014</v>
      </c>
      <c r="F7" s="37">
        <v>33423</v>
      </c>
      <c r="G7" s="37"/>
    </row>
    <row r="8" spans="1:7" x14ac:dyDescent="0.25">
      <c r="A8" s="6">
        <v>1965</v>
      </c>
      <c r="B8" s="12">
        <v>1000</v>
      </c>
      <c r="C8" s="12">
        <v>26000</v>
      </c>
      <c r="D8" s="11">
        <f t="shared" si="0"/>
        <v>27000</v>
      </c>
      <c r="F8" s="37">
        <v>7479</v>
      </c>
      <c r="G8" s="37"/>
    </row>
    <row r="9" spans="1:7" x14ac:dyDescent="0.25">
      <c r="A9" s="6">
        <v>1966</v>
      </c>
      <c r="B9" s="4">
        <v>513.23259387699375</v>
      </c>
      <c r="C9" s="12">
        <v>15000</v>
      </c>
      <c r="D9" s="11">
        <f t="shared" si="0"/>
        <v>15513.232593876994</v>
      </c>
      <c r="F9" s="37">
        <v>37051</v>
      </c>
      <c r="G9" s="37"/>
    </row>
    <row r="10" spans="1:7" x14ac:dyDescent="0.25">
      <c r="A10" s="6">
        <v>1967</v>
      </c>
      <c r="B10" s="4">
        <v>1244.5061193493825</v>
      </c>
      <c r="C10" s="4">
        <v>36372.572919032653</v>
      </c>
      <c r="D10" s="11">
        <f t="shared" si="0"/>
        <v>37617.079038382035</v>
      </c>
      <c r="F10" s="37">
        <v>22658</v>
      </c>
      <c r="G10" s="37"/>
    </row>
    <row r="11" spans="1:7" x14ac:dyDescent="0.25">
      <c r="A11" s="6">
        <v>1968</v>
      </c>
      <c r="B11" s="4">
        <v>1881.8528647083501</v>
      </c>
      <c r="C11" s="12">
        <v>55000</v>
      </c>
      <c r="D11" s="11">
        <f t="shared" si="0"/>
        <v>56881.852864708351</v>
      </c>
      <c r="F11" s="37">
        <v>8933</v>
      </c>
      <c r="G11" s="37"/>
    </row>
    <row r="12" spans="1:7" x14ac:dyDescent="0.25">
      <c r="A12" s="6">
        <v>1969</v>
      </c>
      <c r="B12" s="4">
        <v>1197.542739886228</v>
      </c>
      <c r="C12" s="12">
        <v>35000</v>
      </c>
      <c r="D12" s="11">
        <f t="shared" si="0"/>
        <v>36197.54273988623</v>
      </c>
      <c r="F12" s="37">
        <v>50106</v>
      </c>
      <c r="G12" s="37"/>
    </row>
    <row r="13" spans="1:7" x14ac:dyDescent="0.25">
      <c r="A13" s="6">
        <v>1970</v>
      </c>
      <c r="B13" s="12">
        <v>5000</v>
      </c>
      <c r="C13" s="12">
        <v>25000</v>
      </c>
      <c r="D13" s="11">
        <f t="shared" si="0"/>
        <v>30000</v>
      </c>
      <c r="F13" s="37">
        <v>57157</v>
      </c>
      <c r="G13" s="37"/>
    </row>
    <row r="14" spans="1:7" x14ac:dyDescent="0.25">
      <c r="A14" s="6">
        <v>1971</v>
      </c>
      <c r="B14" s="12">
        <v>3000</v>
      </c>
      <c r="C14" s="12">
        <v>55000</v>
      </c>
      <c r="D14" s="11">
        <f t="shared" si="0"/>
        <v>58000</v>
      </c>
      <c r="F14" s="37">
        <v>8660</v>
      </c>
      <c r="G14" s="37"/>
    </row>
    <row r="15" spans="1:7" x14ac:dyDescent="0.25">
      <c r="A15" s="6">
        <v>1972</v>
      </c>
      <c r="B15" s="4">
        <v>855.38767515233167</v>
      </c>
      <c r="C15" s="12">
        <v>25000</v>
      </c>
      <c r="D15" s="11">
        <f t="shared" si="0"/>
        <v>25855.387675152331</v>
      </c>
      <c r="F15" s="37">
        <v>4859</v>
      </c>
      <c r="G15" s="37"/>
    </row>
    <row r="16" spans="1:7" x14ac:dyDescent="0.25">
      <c r="A16" s="6">
        <v>1973</v>
      </c>
      <c r="B16" s="4">
        <v>171.07753518128717</v>
      </c>
      <c r="C16" s="12">
        <v>5000</v>
      </c>
      <c r="D16" s="11">
        <f t="shared" si="0"/>
        <v>5171.0775351812872</v>
      </c>
      <c r="F16" s="37">
        <v>4002</v>
      </c>
      <c r="G16" s="37"/>
    </row>
    <row r="17" spans="1:7" x14ac:dyDescent="0.25">
      <c r="A17" s="6">
        <v>1974</v>
      </c>
      <c r="B17" s="4">
        <v>171.07753533074035</v>
      </c>
      <c r="C17" s="12">
        <v>5000</v>
      </c>
      <c r="D17" s="11">
        <f t="shared" si="0"/>
        <v>5171.0775353307399</v>
      </c>
      <c r="F17" s="37">
        <v>0</v>
      </c>
      <c r="G17" s="37"/>
    </row>
    <row r="18" spans="1:7" x14ac:dyDescent="0.25">
      <c r="A18" s="6">
        <v>1975</v>
      </c>
      <c r="B18" s="4">
        <v>684.31014362977066</v>
      </c>
      <c r="C18" s="12">
        <v>20000</v>
      </c>
      <c r="D18" s="11">
        <f t="shared" si="0"/>
        <v>20684.310143629769</v>
      </c>
      <c r="F18" s="37">
        <v>0</v>
      </c>
      <c r="G18" s="37"/>
    </row>
    <row r="19" spans="1:7" x14ac:dyDescent="0.25">
      <c r="A19" s="6">
        <v>1976</v>
      </c>
      <c r="B19" s="12">
        <v>200</v>
      </c>
      <c r="C19" s="12">
        <v>2000</v>
      </c>
      <c r="D19" s="11">
        <f t="shared" si="0"/>
        <v>2200</v>
      </c>
      <c r="F19" s="37">
        <v>0</v>
      </c>
      <c r="G19" s="37"/>
    </row>
    <row r="20" spans="1:7" x14ac:dyDescent="0.25">
      <c r="A20" s="6">
        <v>1977</v>
      </c>
      <c r="B20" s="4">
        <v>2121.3614651615198</v>
      </c>
      <c r="C20" s="12">
        <v>62000</v>
      </c>
      <c r="D20" s="11">
        <f t="shared" si="0"/>
        <v>64121.361465161521</v>
      </c>
      <c r="F20" s="37">
        <v>0</v>
      </c>
      <c r="G20" s="37"/>
    </row>
    <row r="21" spans="1:7" x14ac:dyDescent="0.25">
      <c r="A21" s="6">
        <v>1978</v>
      </c>
      <c r="B21" s="12">
        <v>8000</v>
      </c>
      <c r="C21" s="12">
        <v>25000</v>
      </c>
      <c r="D21" s="11">
        <f t="shared" si="0"/>
        <v>33000</v>
      </c>
      <c r="F21" s="37">
        <v>0</v>
      </c>
      <c r="G21" s="37"/>
    </row>
    <row r="22" spans="1:7" x14ac:dyDescent="0.25">
      <c r="A22" s="6">
        <v>1979</v>
      </c>
      <c r="B22" s="4">
        <v>2395.0855476787688</v>
      </c>
      <c r="C22" s="12">
        <v>70000</v>
      </c>
      <c r="D22" s="11">
        <f t="shared" si="0"/>
        <v>72395.085547678769</v>
      </c>
      <c r="F22" s="37">
        <v>393897</v>
      </c>
      <c r="G22" s="37"/>
    </row>
    <row r="23" spans="1:7" x14ac:dyDescent="0.25">
      <c r="A23" s="6">
        <v>1980</v>
      </c>
      <c r="B23" s="12">
        <v>3950</v>
      </c>
      <c r="C23" s="12">
        <v>18328</v>
      </c>
      <c r="D23" s="11">
        <f t="shared" si="0"/>
        <v>22278</v>
      </c>
      <c r="F23" s="37">
        <v>3020</v>
      </c>
      <c r="G23" s="37"/>
    </row>
    <row r="24" spans="1:7" x14ac:dyDescent="0.25">
      <c r="A24" s="6">
        <v>1981</v>
      </c>
      <c r="B24" s="12">
        <v>1580</v>
      </c>
      <c r="C24" s="12">
        <v>49770</v>
      </c>
      <c r="D24" s="11">
        <f t="shared" si="0"/>
        <v>51350</v>
      </c>
      <c r="F24" s="37">
        <v>15040</v>
      </c>
      <c r="G24" s="37"/>
    </row>
    <row r="25" spans="1:7" x14ac:dyDescent="0.25">
      <c r="A25" s="6">
        <v>1982</v>
      </c>
      <c r="B25" s="12">
        <v>2370</v>
      </c>
      <c r="C25" s="12">
        <v>87690</v>
      </c>
      <c r="D25" s="11">
        <f t="shared" si="0"/>
        <v>90060</v>
      </c>
      <c r="F25" s="37">
        <v>672595</v>
      </c>
      <c r="G25" s="37"/>
    </row>
    <row r="26" spans="1:7" x14ac:dyDescent="0.25">
      <c r="A26" s="6">
        <v>1983</v>
      </c>
      <c r="B26" s="12">
        <v>4740</v>
      </c>
      <c r="C26" s="12">
        <v>59250</v>
      </c>
      <c r="D26" s="11">
        <f t="shared" si="0"/>
        <v>63990</v>
      </c>
      <c r="F26" s="37">
        <v>67228</v>
      </c>
      <c r="G26" s="37"/>
    </row>
    <row r="27" spans="1:7" x14ac:dyDescent="0.25">
      <c r="A27" s="6">
        <v>1984</v>
      </c>
      <c r="B27" s="12">
        <v>790</v>
      </c>
      <c r="C27" s="12">
        <v>79000</v>
      </c>
      <c r="D27" s="11">
        <f t="shared" si="0"/>
        <v>79790</v>
      </c>
      <c r="F27" s="37">
        <v>342250</v>
      </c>
      <c r="G27" s="37"/>
    </row>
    <row r="28" spans="1:7" x14ac:dyDescent="0.25">
      <c r="A28" s="6">
        <v>1985</v>
      </c>
      <c r="B28" s="12">
        <v>3950</v>
      </c>
      <c r="C28" s="12">
        <v>118500</v>
      </c>
      <c r="D28" s="11">
        <f t="shared" si="0"/>
        <v>122450</v>
      </c>
      <c r="F28" s="37">
        <v>426816</v>
      </c>
      <c r="G28" s="37"/>
    </row>
    <row r="29" spans="1:7" x14ac:dyDescent="0.25">
      <c r="A29" s="6">
        <v>1986</v>
      </c>
      <c r="B29" s="12">
        <v>79</v>
      </c>
      <c r="C29" s="12">
        <v>53720</v>
      </c>
      <c r="D29" s="11">
        <f t="shared" si="0"/>
        <v>53799</v>
      </c>
      <c r="F29" s="37">
        <v>0</v>
      </c>
      <c r="G29" s="37"/>
    </row>
    <row r="30" spans="1:7" x14ac:dyDescent="0.25">
      <c r="A30" s="6">
        <v>1987</v>
      </c>
      <c r="B30" s="12">
        <v>790</v>
      </c>
      <c r="C30" s="12">
        <v>75840</v>
      </c>
      <c r="D30" s="11">
        <f t="shared" si="0"/>
        <v>76630</v>
      </c>
      <c r="F30" s="37">
        <v>73110</v>
      </c>
      <c r="G30" s="37"/>
    </row>
    <row r="31" spans="1:7" x14ac:dyDescent="0.25">
      <c r="A31" s="6">
        <v>1988</v>
      </c>
      <c r="B31" s="4">
        <v>2432.72262682173</v>
      </c>
      <c r="C31" s="12">
        <v>71100</v>
      </c>
      <c r="D31" s="11">
        <f t="shared" si="0"/>
        <v>73532.722626821735</v>
      </c>
      <c r="F31" s="37">
        <v>170185</v>
      </c>
      <c r="G31" s="37"/>
    </row>
    <row r="32" spans="1:7" x14ac:dyDescent="0.25">
      <c r="A32" s="6">
        <v>1989</v>
      </c>
      <c r="B32" s="4">
        <v>3108.4789407999465</v>
      </c>
      <c r="C32" s="12">
        <v>90850</v>
      </c>
      <c r="D32" s="11">
        <f t="shared" si="0"/>
        <v>93958.478940799949</v>
      </c>
      <c r="F32" s="37">
        <v>195136</v>
      </c>
      <c r="G32" s="37"/>
    </row>
    <row r="33" spans="1:7" x14ac:dyDescent="0.25">
      <c r="A33" s="6">
        <v>1990</v>
      </c>
      <c r="B33" s="4">
        <v>2162.4201452009411</v>
      </c>
      <c r="C33" s="12">
        <v>63200</v>
      </c>
      <c r="D33" s="11">
        <f t="shared" si="0"/>
        <v>65362.420145200944</v>
      </c>
      <c r="F33" s="37">
        <v>157475</v>
      </c>
      <c r="G33" s="37"/>
    </row>
    <row r="34" spans="1:7" x14ac:dyDescent="0.25">
      <c r="A34" s="6">
        <v>1991</v>
      </c>
      <c r="B34" s="4">
        <v>5270.8991617240799</v>
      </c>
      <c r="C34" s="12">
        <v>154050</v>
      </c>
      <c r="D34" s="11">
        <f t="shared" si="0"/>
        <v>159320.89916172408</v>
      </c>
      <c r="F34" s="37">
        <v>773154</v>
      </c>
      <c r="G34" s="37"/>
    </row>
    <row r="35" spans="1:7" x14ac:dyDescent="0.25">
      <c r="A35" s="6">
        <v>1992</v>
      </c>
      <c r="B35" s="4">
        <v>2162.4201776316704</v>
      </c>
      <c r="C35" s="12">
        <v>63200</v>
      </c>
      <c r="D35" s="11">
        <f t="shared" si="0"/>
        <v>65362.42017763167</v>
      </c>
      <c r="F35" s="37">
        <v>386442</v>
      </c>
      <c r="G35" s="37"/>
    </row>
    <row r="36" spans="1:7" x14ac:dyDescent="0.25">
      <c r="A36" s="6">
        <v>1993</v>
      </c>
      <c r="B36" s="12">
        <v>1580</v>
      </c>
      <c r="C36" s="12">
        <v>97000</v>
      </c>
      <c r="D36" s="11">
        <f t="shared" si="0"/>
        <v>98580</v>
      </c>
      <c r="F36" s="37">
        <v>1186370</v>
      </c>
      <c r="G36" s="37"/>
    </row>
    <row r="37" spans="1:7" x14ac:dyDescent="0.25">
      <c r="A37" s="6">
        <v>1994</v>
      </c>
      <c r="B37" s="12">
        <v>1580</v>
      </c>
      <c r="C37" s="12">
        <v>252800</v>
      </c>
      <c r="D37" s="11">
        <f t="shared" si="0"/>
        <v>254380</v>
      </c>
      <c r="F37" s="37">
        <v>1400524</v>
      </c>
      <c r="G37" s="37"/>
    </row>
    <row r="38" spans="1:7" x14ac:dyDescent="0.25">
      <c r="A38" s="6">
        <v>1995</v>
      </c>
      <c r="B38" s="12">
        <v>5000</v>
      </c>
      <c r="C38" s="12">
        <v>121000</v>
      </c>
      <c r="D38" s="11">
        <f t="shared" si="0"/>
        <v>126000</v>
      </c>
      <c r="F38" s="37">
        <v>103276</v>
      </c>
      <c r="G38" s="37"/>
    </row>
    <row r="39" spans="1:7" x14ac:dyDescent="0.25">
      <c r="A39" s="6">
        <v>1996</v>
      </c>
      <c r="B39" s="4">
        <v>10777.885516411201</v>
      </c>
      <c r="C39" s="12">
        <v>315000</v>
      </c>
      <c r="D39" s="11">
        <f t="shared" si="0"/>
        <v>325777.88551641122</v>
      </c>
      <c r="F39" s="37">
        <v>185944</v>
      </c>
      <c r="G39" s="37"/>
    </row>
    <row r="40" spans="1:7" x14ac:dyDescent="0.25">
      <c r="A40" s="6">
        <v>1997</v>
      </c>
      <c r="B40" s="12">
        <v>3000</v>
      </c>
      <c r="C40" s="12">
        <v>267000</v>
      </c>
      <c r="D40" s="11">
        <f t="shared" si="0"/>
        <v>270000</v>
      </c>
      <c r="F40" s="37">
        <v>1035213</v>
      </c>
      <c r="G40" s="37"/>
    </row>
    <row r="41" spans="1:7" x14ac:dyDescent="0.25">
      <c r="A41" s="7">
        <v>1998</v>
      </c>
      <c r="B41" s="5">
        <v>2000</v>
      </c>
      <c r="C41" s="5">
        <v>230000</v>
      </c>
      <c r="D41" s="11">
        <f t="shared" si="0"/>
        <v>232000</v>
      </c>
      <c r="F41" s="37">
        <v>828782</v>
      </c>
      <c r="G41" s="37"/>
    </row>
    <row r="42" spans="1:7" x14ac:dyDescent="0.25">
      <c r="A42" s="8">
        <v>1999</v>
      </c>
      <c r="B42" s="4">
        <v>17360.780341383168</v>
      </c>
      <c r="C42" s="5">
        <v>540000</v>
      </c>
      <c r="D42" s="11">
        <f t="shared" si="0"/>
        <v>557360.78034138319</v>
      </c>
      <c r="F42" s="37">
        <v>754889</v>
      </c>
      <c r="G42" s="37"/>
    </row>
    <row r="43" spans="1:7" x14ac:dyDescent="0.25">
      <c r="A43" s="8">
        <v>2000</v>
      </c>
      <c r="B43" s="4">
        <v>8666.4847583721785</v>
      </c>
      <c r="C43" s="5">
        <v>127000</v>
      </c>
      <c r="D43" s="11">
        <f t="shared" si="0"/>
        <v>135666.48475837219</v>
      </c>
      <c r="F43" s="37">
        <v>78359</v>
      </c>
      <c r="G43" s="37"/>
    </row>
    <row r="44" spans="1:7" x14ac:dyDescent="0.25">
      <c r="A44" s="8">
        <v>2001</v>
      </c>
      <c r="B44" s="4">
        <v>5406.5929211750272</v>
      </c>
      <c r="C44" s="5">
        <v>190000</v>
      </c>
      <c r="D44" s="11">
        <f t="shared" si="0"/>
        <v>195406.59292117503</v>
      </c>
      <c r="F44" s="37">
        <v>24977</v>
      </c>
      <c r="G44" s="37"/>
    </row>
    <row r="45" spans="1:7" x14ac:dyDescent="0.25">
      <c r="A45" s="9">
        <v>2002</v>
      </c>
      <c r="B45" s="4">
        <v>4708.0838711717461</v>
      </c>
      <c r="C45" s="5">
        <v>181500</v>
      </c>
      <c r="D45" s="11">
        <f t="shared" si="0"/>
        <v>186208.08387117175</v>
      </c>
      <c r="F45" s="37">
        <v>466843</v>
      </c>
      <c r="G45" s="37"/>
    </row>
    <row r="46" spans="1:7" x14ac:dyDescent="0.25">
      <c r="A46" s="9">
        <v>2003</v>
      </c>
      <c r="B46" s="5">
        <v>6800</v>
      </c>
      <c r="C46" s="5">
        <v>136890</v>
      </c>
      <c r="D46" s="11">
        <f t="shared" si="0"/>
        <v>143690</v>
      </c>
      <c r="F46" s="37">
        <v>185427</v>
      </c>
      <c r="G46" s="37"/>
    </row>
    <row r="47" spans="1:7" x14ac:dyDescent="0.25">
      <c r="A47" s="8">
        <v>2004</v>
      </c>
      <c r="B47" s="5">
        <v>6800</v>
      </c>
      <c r="C47" s="5">
        <v>285000</v>
      </c>
      <c r="D47" s="11">
        <f t="shared" si="0"/>
        <v>291800</v>
      </c>
      <c r="F47" s="37">
        <v>888857</v>
      </c>
      <c r="G47" s="37"/>
    </row>
    <row r="48" spans="1:7" x14ac:dyDescent="0.25">
      <c r="A48" s="8">
        <v>2005</v>
      </c>
      <c r="B48" s="4">
        <v>11840.233529447354</v>
      </c>
      <c r="C48" s="5">
        <v>361000</v>
      </c>
      <c r="D48" s="11">
        <f t="shared" si="0"/>
        <v>372840.23352944735</v>
      </c>
      <c r="F48" s="37">
        <v>447113</v>
      </c>
      <c r="G48" s="37"/>
    </row>
    <row r="49" spans="1:9" x14ac:dyDescent="0.25">
      <c r="A49" s="8">
        <v>2006</v>
      </c>
      <c r="B49" s="4">
        <v>9000</v>
      </c>
      <c r="C49" s="5">
        <v>290000</v>
      </c>
      <c r="D49" s="11">
        <v>299000</v>
      </c>
      <c r="F49" s="37">
        <v>94588</v>
      </c>
      <c r="G49" s="37"/>
    </row>
    <row r="50" spans="1:9" x14ac:dyDescent="0.25">
      <c r="A50" s="9">
        <v>2007</v>
      </c>
      <c r="B50" s="11">
        <v>17000</v>
      </c>
      <c r="C50" s="11">
        <v>132000</v>
      </c>
      <c r="D50" s="11">
        <f t="shared" si="0"/>
        <v>149000</v>
      </c>
      <c r="F50" s="37">
        <v>1804</v>
      </c>
      <c r="G50" s="37"/>
    </row>
    <row r="51" spans="1:9" x14ac:dyDescent="0.25">
      <c r="A51" s="9">
        <v>2008</v>
      </c>
      <c r="B51" s="11">
        <v>8000</v>
      </c>
      <c r="C51" s="11">
        <v>76000</v>
      </c>
      <c r="D51" s="11">
        <f t="shared" si="0"/>
        <v>84000</v>
      </c>
      <c r="F51" s="37">
        <v>0</v>
      </c>
      <c r="G51" s="37"/>
    </row>
    <row r="52" spans="1:9" ht="13.8" thickBot="1" x14ac:dyDescent="0.3">
      <c r="A52" s="9">
        <v>2009</v>
      </c>
      <c r="B52" s="11">
        <v>2000</v>
      </c>
      <c r="C52" s="11">
        <v>185000</v>
      </c>
      <c r="D52" s="11">
        <f t="shared" si="0"/>
        <v>187000</v>
      </c>
      <c r="F52" s="37">
        <v>368742</v>
      </c>
      <c r="G52" s="37"/>
      <c r="H52" s="36"/>
      <c r="I52" s="36"/>
    </row>
    <row r="53" spans="1:9" x14ac:dyDescent="0.25">
      <c r="A53" s="9">
        <v>2010</v>
      </c>
      <c r="B53" s="11">
        <v>14000</v>
      </c>
      <c r="C53" s="11">
        <v>136000</v>
      </c>
      <c r="D53" s="11">
        <f t="shared" si="0"/>
        <v>150000</v>
      </c>
      <c r="F53" s="37">
        <v>0</v>
      </c>
      <c r="G53" s="192" t="s">
        <v>289</v>
      </c>
      <c r="H53" s="193"/>
      <c r="I53" s="36"/>
    </row>
    <row r="54" spans="1:9" ht="13.8" thickBot="1" x14ac:dyDescent="0.3">
      <c r="A54" s="9">
        <v>2011</v>
      </c>
      <c r="B54" s="11">
        <v>7500</v>
      </c>
      <c r="C54" s="11">
        <v>204000</v>
      </c>
      <c r="D54" s="11">
        <f t="shared" si="0"/>
        <v>211500</v>
      </c>
      <c r="F54" s="37">
        <v>924126</v>
      </c>
      <c r="G54" s="50">
        <v>70000</v>
      </c>
      <c r="H54" s="51">
        <v>140000</v>
      </c>
      <c r="I54" s="36"/>
    </row>
    <row r="55" spans="1:9" ht="13.8" thickBot="1" x14ac:dyDescent="0.3">
      <c r="A55" s="9">
        <v>2012</v>
      </c>
      <c r="B55" s="11">
        <v>4000</v>
      </c>
      <c r="C55" s="11">
        <v>70000</v>
      </c>
      <c r="D55" s="11">
        <f t="shared" si="0"/>
        <v>74000</v>
      </c>
      <c r="F55" s="37">
        <v>0</v>
      </c>
      <c r="G55" s="175">
        <v>90000</v>
      </c>
      <c r="H55" s="176">
        <v>210000</v>
      </c>
      <c r="I55" s="36"/>
    </row>
    <row r="56" spans="1:9" x14ac:dyDescent="0.25">
      <c r="A56" s="9">
        <v>2013</v>
      </c>
      <c r="B56" s="11">
        <v>14000</v>
      </c>
      <c r="C56" s="11">
        <v>186000</v>
      </c>
      <c r="D56" s="11">
        <f t="shared" si="0"/>
        <v>200000</v>
      </c>
      <c r="F56" s="37">
        <v>1237813</v>
      </c>
      <c r="G56" s="30"/>
      <c r="H56" s="30"/>
      <c r="I56" s="36"/>
    </row>
    <row r="57" spans="1:9" x14ac:dyDescent="0.25">
      <c r="A57" s="9">
        <v>2014</v>
      </c>
      <c r="B57" s="11">
        <v>900</v>
      </c>
      <c r="C57" s="11">
        <v>52000</v>
      </c>
      <c r="D57" s="11">
        <f t="shared" si="0"/>
        <v>52900</v>
      </c>
      <c r="F57" s="37">
        <v>0</v>
      </c>
      <c r="G57" s="30"/>
      <c r="H57" s="30"/>
      <c r="I57" s="36"/>
    </row>
    <row r="58" spans="1:9" x14ac:dyDescent="0.25">
      <c r="A58" s="9">
        <v>2015</v>
      </c>
      <c r="B58" s="11">
        <v>21000</v>
      </c>
      <c r="C58" s="11">
        <v>81000</v>
      </c>
      <c r="D58" s="11">
        <f t="shared" ref="D58:D64" si="1">SUM(B58:C58)</f>
        <v>102000</v>
      </c>
      <c r="F58" s="37">
        <v>27161</v>
      </c>
      <c r="G58" s="30"/>
      <c r="H58" s="30"/>
      <c r="I58" s="36"/>
    </row>
    <row r="59" spans="1:9" x14ac:dyDescent="0.25">
      <c r="A59" s="9">
        <v>2016</v>
      </c>
      <c r="B59" s="11">
        <v>8000</v>
      </c>
      <c r="C59" s="11">
        <v>95000</v>
      </c>
      <c r="D59" s="11">
        <f t="shared" si="1"/>
        <v>103000</v>
      </c>
      <c r="F59" s="37">
        <v>0</v>
      </c>
      <c r="G59" s="30"/>
      <c r="H59" s="30"/>
      <c r="I59" s="36"/>
    </row>
    <row r="60" spans="1:9" x14ac:dyDescent="0.25">
      <c r="A60" s="9">
        <v>2017</v>
      </c>
      <c r="B60" s="11">
        <v>35000</v>
      </c>
      <c r="C60" s="11">
        <v>130000</v>
      </c>
      <c r="D60" s="11">
        <f t="shared" si="1"/>
        <v>165000</v>
      </c>
      <c r="F60" s="37">
        <v>0</v>
      </c>
      <c r="G60" s="30"/>
      <c r="H60" s="30"/>
      <c r="I60" s="36"/>
    </row>
    <row r="61" spans="1:9" x14ac:dyDescent="0.25">
      <c r="A61" s="9">
        <v>2018</v>
      </c>
      <c r="B61" s="11">
        <v>150</v>
      </c>
      <c r="C61" s="11">
        <v>17000</v>
      </c>
      <c r="D61" s="11">
        <f t="shared" si="1"/>
        <v>17150</v>
      </c>
      <c r="F61" s="37">
        <v>0</v>
      </c>
      <c r="G61" s="30"/>
      <c r="H61" s="30"/>
      <c r="I61" s="36"/>
    </row>
    <row r="62" spans="1:9" x14ac:dyDescent="0.25">
      <c r="A62" s="9">
        <v>2019</v>
      </c>
      <c r="B62" s="11">
        <v>5500</v>
      </c>
      <c r="C62" s="11">
        <v>75000</v>
      </c>
      <c r="D62" s="11">
        <f t="shared" si="1"/>
        <v>80500</v>
      </c>
      <c r="F62" s="37">
        <v>29888</v>
      </c>
      <c r="G62" s="30">
        <f>F62+D62</f>
        <v>110388</v>
      </c>
      <c r="H62" s="30"/>
      <c r="I62" s="36"/>
    </row>
    <row r="63" spans="1:9" x14ac:dyDescent="0.25">
      <c r="A63" s="9">
        <v>2020</v>
      </c>
      <c r="B63" s="11">
        <v>0</v>
      </c>
      <c r="C63" s="11">
        <v>66000</v>
      </c>
      <c r="D63" s="11">
        <f t="shared" si="1"/>
        <v>66000</v>
      </c>
      <c r="F63" s="37">
        <v>0</v>
      </c>
      <c r="G63" s="30">
        <f>F63+D63</f>
        <v>66000</v>
      </c>
      <c r="H63" s="30"/>
      <c r="I63" s="36"/>
    </row>
    <row r="64" spans="1:9" x14ac:dyDescent="0.25">
      <c r="A64" s="9">
        <v>2021</v>
      </c>
      <c r="B64" s="11">
        <v>5000</v>
      </c>
      <c r="C64" s="11">
        <v>109000</v>
      </c>
      <c r="D64" s="11">
        <f t="shared" si="1"/>
        <v>114000</v>
      </c>
      <c r="F64" s="37">
        <v>0</v>
      </c>
      <c r="G64" s="30">
        <f>F64+D64</f>
        <v>114000</v>
      </c>
      <c r="H64" s="30"/>
      <c r="I64" s="36"/>
    </row>
    <row r="65" spans="1:9" x14ac:dyDescent="0.25">
      <c r="A65" s="9">
        <v>2022</v>
      </c>
      <c r="B65" s="11">
        <v>0</v>
      </c>
      <c r="C65" s="11">
        <v>26000</v>
      </c>
      <c r="D65" s="11">
        <f>SUM(B65:C65)</f>
        <v>26000</v>
      </c>
      <c r="F65" s="37">
        <v>0</v>
      </c>
      <c r="G65" s="30">
        <f>F65+D65</f>
        <v>26000</v>
      </c>
      <c r="H65" s="30"/>
      <c r="I65" s="36"/>
    </row>
    <row r="66" spans="1:9" x14ac:dyDescent="0.25">
      <c r="A66" s="9">
        <v>2023</v>
      </c>
      <c r="B66" s="11">
        <v>38000</v>
      </c>
      <c r="C66" s="11">
        <v>145000</v>
      </c>
      <c r="D66" s="11">
        <f>SUM(B66:C66)</f>
        <v>183000</v>
      </c>
      <c r="F66" s="37"/>
      <c r="G66" s="30"/>
      <c r="H66" s="30"/>
      <c r="I66" s="36"/>
    </row>
    <row r="67" spans="1:9" x14ac:dyDescent="0.25">
      <c r="A67" s="9">
        <v>2024</v>
      </c>
      <c r="B67" s="108">
        <v>5000</v>
      </c>
      <c r="C67" s="108">
        <v>25000</v>
      </c>
      <c r="D67" s="11">
        <f>SUM(B67:C67)</f>
        <v>30000</v>
      </c>
      <c r="F67" s="37"/>
      <c r="G67" s="30"/>
      <c r="H67" s="30"/>
      <c r="I67" s="36"/>
    </row>
    <row r="68" spans="1:9" ht="13.8" x14ac:dyDescent="0.25">
      <c r="A68" s="66" t="s">
        <v>108</v>
      </c>
      <c r="B68" s="67">
        <f>AVERAGE(B3:B67)</f>
        <v>5338.0587752913571</v>
      </c>
      <c r="C68" s="67">
        <f>AVERAGE(C3:C67)</f>
        <v>104038.99470253415</v>
      </c>
      <c r="D68" s="67">
        <f>AVERAGE(D3:D67)</f>
        <v>109377.05347782552</v>
      </c>
      <c r="E68" s="68"/>
      <c r="F68" s="67">
        <f>AVERAGE(F3:F65)</f>
        <v>225599.85714285713</v>
      </c>
      <c r="G68" s="33"/>
    </row>
    <row r="69" spans="1:9" ht="13.8" x14ac:dyDescent="0.25">
      <c r="A69" s="22" t="s">
        <v>360</v>
      </c>
      <c r="B69" s="33">
        <f>AVERAGE(B57:B66)</f>
        <v>11355</v>
      </c>
      <c r="C69" s="33">
        <f>AVERAGE(C57:C66)</f>
        <v>79600</v>
      </c>
      <c r="D69" s="33">
        <f t="shared" ref="D69:F69" si="2">AVERAGE(D57:D66)</f>
        <v>90955</v>
      </c>
      <c r="E69" s="33"/>
      <c r="F69" s="33">
        <f t="shared" si="2"/>
        <v>6338.7777777777774</v>
      </c>
      <c r="G69" s="33"/>
    </row>
    <row r="70" spans="1:9" ht="13.8" x14ac:dyDescent="0.25">
      <c r="A70" s="22" t="s">
        <v>361</v>
      </c>
      <c r="B70" s="14">
        <f>RANK(B67,B5:B67)</f>
        <v>21</v>
      </c>
      <c r="C70" s="14">
        <f>RANK(C67,C5:C67)</f>
        <v>51</v>
      </c>
      <c r="D70" s="14">
        <f t="shared" ref="D70:F70" si="3">RANK(D67,D5:D67)</f>
        <v>50</v>
      </c>
      <c r="E70" s="14"/>
      <c r="F70" s="14">
        <f t="shared" si="3"/>
        <v>46</v>
      </c>
    </row>
    <row r="71" spans="1:9" ht="13.8" x14ac:dyDescent="0.25">
      <c r="A71" s="23" t="s">
        <v>362</v>
      </c>
      <c r="B71" s="55">
        <f>B67/B69</f>
        <v>0.44033465433729635</v>
      </c>
      <c r="C71" s="55">
        <f t="shared" ref="C71:F71" si="4">C67/C69</f>
        <v>0.314070351758794</v>
      </c>
      <c r="D71" s="55">
        <f t="shared" si="4"/>
        <v>0.32983343411577154</v>
      </c>
      <c r="E71" s="55"/>
      <c r="F71" s="55">
        <f t="shared" si="4"/>
        <v>0</v>
      </c>
      <c r="G71" s="49"/>
    </row>
    <row r="74" spans="1:9" ht="13.8" x14ac:dyDescent="0.25">
      <c r="A74" s="158" t="s">
        <v>344</v>
      </c>
    </row>
    <row r="75" spans="1:9" ht="13.8" x14ac:dyDescent="0.25">
      <c r="A75" s="159" t="s">
        <v>345</v>
      </c>
    </row>
    <row r="76" spans="1:9" ht="13.8" x14ac:dyDescent="0.25">
      <c r="A76" s="160" t="s">
        <v>346</v>
      </c>
    </row>
    <row r="77" spans="1:9" x14ac:dyDescent="0.25">
      <c r="A77" s="179" t="s">
        <v>355</v>
      </c>
    </row>
  </sheetData>
  <mergeCells count="1">
    <mergeCell ref="G53:H53"/>
  </mergeCells>
  <phoneticPr fontId="10" type="noConversion"/>
  <pageMargins left="0.75" right="0.75" top="1" bottom="1" header="0.5" footer="0.5"/>
  <pageSetup scale="85" orientation="portrait" r:id="rId1"/>
  <headerFooter alignWithMargins="0">
    <oddFooter>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92D050"/>
    <pageSetUpPr fitToPage="1"/>
  </sheetPr>
  <dimension ref="A1:J91"/>
  <sheetViews>
    <sheetView workbookViewId="0">
      <pane xSplit="1" ySplit="2" topLeftCell="B47" activePane="bottomRight" state="frozen"/>
      <selection pane="topRight" activeCell="B1" sqref="B1"/>
      <selection pane="bottomLeft" activeCell="A3" sqref="A3"/>
      <selection pane="bottomRight" activeCell="E67" sqref="E67"/>
    </sheetView>
  </sheetViews>
  <sheetFormatPr defaultRowHeight="13.2" x14ac:dyDescent="0.25"/>
  <cols>
    <col min="1" max="1" width="22.5546875" bestFit="1" customWidth="1"/>
    <col min="2" max="2" width="20.109375" bestFit="1" customWidth="1"/>
    <col min="3" max="3" width="19.88671875" bestFit="1" customWidth="1"/>
    <col min="4" max="4" width="21.109375" bestFit="1" customWidth="1"/>
    <col min="5" max="5" width="21.5546875" bestFit="1" customWidth="1"/>
    <col min="6" max="6" width="8.6640625" bestFit="1" customWidth="1"/>
    <col min="7" max="7" width="2.33203125" style="28" customWidth="1"/>
    <col min="8" max="8" width="12.88671875" style="54" customWidth="1"/>
    <col min="9" max="9" width="10.44140625" style="54" customWidth="1"/>
    <col min="10" max="10" width="10.44140625" bestFit="1" customWidth="1"/>
    <col min="11" max="11" width="11.44140625" bestFit="1" customWidth="1"/>
  </cols>
  <sheetData>
    <row r="1" spans="1:9" s="14" customFormat="1" x14ac:dyDescent="0.25">
      <c r="B1" s="38" t="s">
        <v>13</v>
      </c>
      <c r="C1" s="38" t="s">
        <v>14</v>
      </c>
      <c r="D1" s="38" t="s">
        <v>15</v>
      </c>
      <c r="E1" s="38" t="s">
        <v>16</v>
      </c>
      <c r="G1" s="29"/>
      <c r="H1" s="54"/>
      <c r="I1" s="54"/>
    </row>
    <row r="2" spans="1:9" s="14" customFormat="1" x14ac:dyDescent="0.25">
      <c r="B2" s="14" t="s">
        <v>17</v>
      </c>
      <c r="C2" s="14" t="s">
        <v>18</v>
      </c>
      <c r="D2" s="14" t="s">
        <v>19</v>
      </c>
      <c r="E2" s="15" t="s">
        <v>20</v>
      </c>
      <c r="F2" s="26" t="s">
        <v>4</v>
      </c>
      <c r="G2" s="29"/>
      <c r="H2" s="54" t="s">
        <v>140</v>
      </c>
      <c r="I2" s="54"/>
    </row>
    <row r="3" spans="1:9" x14ac:dyDescent="0.25">
      <c r="A3" s="6">
        <v>1960</v>
      </c>
      <c r="B3" s="4">
        <v>3160.1947530521511</v>
      </c>
      <c r="C3" s="4">
        <v>1187.1747083489524</v>
      </c>
      <c r="D3" s="4">
        <v>1603.5249186112076</v>
      </c>
      <c r="E3" s="4">
        <v>356.32820508606125</v>
      </c>
      <c r="F3" s="11">
        <f>SUM(B3:E3)</f>
        <v>6307.2225850983732</v>
      </c>
      <c r="H3" s="60">
        <v>7784</v>
      </c>
      <c r="I3" s="60"/>
    </row>
    <row r="4" spans="1:9" x14ac:dyDescent="0.25">
      <c r="A4" s="6">
        <v>1961</v>
      </c>
      <c r="B4" s="4">
        <v>10647.779774693528</v>
      </c>
      <c r="C4" s="12">
        <v>4000</v>
      </c>
      <c r="D4" s="4">
        <v>5402.8256880440913</v>
      </c>
      <c r="E4" s="4">
        <v>1200.5917006510226</v>
      </c>
      <c r="F4" s="11">
        <f t="shared" ref="F4:F57" si="0">SUM(B4:E4)</f>
        <v>21251.197163388642</v>
      </c>
      <c r="H4" s="60">
        <v>121333</v>
      </c>
      <c r="I4" s="60"/>
    </row>
    <row r="5" spans="1:9" x14ac:dyDescent="0.25">
      <c r="A5" s="6">
        <v>1962</v>
      </c>
      <c r="B5" s="4">
        <v>6144.5085820588829</v>
      </c>
      <c r="C5" s="4">
        <v>2308.2771011869236</v>
      </c>
      <c r="D5" s="4">
        <v>3117.805513150357</v>
      </c>
      <c r="E5" s="4">
        <v>692.82493175559853</v>
      </c>
      <c r="F5" s="11">
        <f t="shared" si="0"/>
        <v>12263.416128151761</v>
      </c>
      <c r="H5" s="60">
        <v>517</v>
      </c>
      <c r="I5" s="60"/>
    </row>
    <row r="6" spans="1:9" x14ac:dyDescent="0.25">
      <c r="A6" s="6">
        <v>1963</v>
      </c>
      <c r="B6" s="4">
        <v>30159.720468925607</v>
      </c>
      <c r="C6" s="4">
        <v>11329.952787312957</v>
      </c>
      <c r="D6" s="4">
        <v>15303.443960660086</v>
      </c>
      <c r="E6" s="4">
        <v>3400.6635349542139</v>
      </c>
      <c r="F6" s="11">
        <f t="shared" si="0"/>
        <v>60193.780751852864</v>
      </c>
      <c r="H6" s="60">
        <v>112447</v>
      </c>
      <c r="I6" s="60"/>
    </row>
    <row r="7" spans="1:9" x14ac:dyDescent="0.25">
      <c r="A7" s="6">
        <v>1964</v>
      </c>
      <c r="B7" s="4">
        <v>7603.2544126162002</v>
      </c>
      <c r="C7" s="4">
        <v>2856.2769211874684</v>
      </c>
      <c r="D7" s="4">
        <v>3857.9925812632723</v>
      </c>
      <c r="E7" s="4">
        <v>857.30602359522084</v>
      </c>
      <c r="F7" s="11">
        <f t="shared" si="0"/>
        <v>15174.829938662162</v>
      </c>
      <c r="H7" s="60">
        <v>33128</v>
      </c>
      <c r="I7" s="60"/>
    </row>
    <row r="8" spans="1:9" x14ac:dyDescent="0.25">
      <c r="A8" s="6">
        <v>1965</v>
      </c>
      <c r="B8" s="4">
        <v>15501.677866371949</v>
      </c>
      <c r="C8" s="4">
        <v>5823.438533889579</v>
      </c>
      <c r="D8" s="4">
        <v>7865.7578663092445</v>
      </c>
      <c r="E8" s="4">
        <v>1747.893874052063</v>
      </c>
      <c r="F8" s="11">
        <f t="shared" si="0"/>
        <v>30938.768140622833</v>
      </c>
      <c r="H8" s="60">
        <v>314682</v>
      </c>
      <c r="I8" s="60"/>
    </row>
    <row r="9" spans="1:9" x14ac:dyDescent="0.25">
      <c r="A9" s="6">
        <v>1966</v>
      </c>
      <c r="B9" s="4">
        <v>6002.2242128389162</v>
      </c>
      <c r="C9" s="4">
        <v>2254.8258370092644</v>
      </c>
      <c r="D9" s="4">
        <v>3045.608528603585</v>
      </c>
      <c r="E9" s="4">
        <v>676.78163762302029</v>
      </c>
      <c r="F9" s="11">
        <f t="shared" si="0"/>
        <v>11979.440216074787</v>
      </c>
      <c r="H9" s="60">
        <v>54688</v>
      </c>
      <c r="I9" s="60"/>
    </row>
    <row r="10" spans="1:9" x14ac:dyDescent="0.25">
      <c r="A10" s="6">
        <v>1967</v>
      </c>
      <c r="B10" s="4">
        <v>6893.3522843597148</v>
      </c>
      <c r="C10" s="4">
        <v>2589.5915052845348</v>
      </c>
      <c r="D10" s="4">
        <v>3497.7787839059497</v>
      </c>
      <c r="E10" s="4">
        <v>777.26090900471218</v>
      </c>
      <c r="F10" s="11">
        <f t="shared" si="0"/>
        <v>13757.983482554911</v>
      </c>
      <c r="H10" s="60">
        <v>93169</v>
      </c>
      <c r="I10" s="60"/>
    </row>
    <row r="11" spans="1:9" x14ac:dyDescent="0.25">
      <c r="A11" s="6">
        <v>1968</v>
      </c>
      <c r="B11" s="12">
        <v>20000</v>
      </c>
      <c r="C11" s="4">
        <v>7513.3009491711609</v>
      </c>
      <c r="D11" s="4">
        <v>10148.266457638092</v>
      </c>
      <c r="E11" s="4">
        <v>2255.1028356979537</v>
      </c>
      <c r="F11" s="11">
        <f t="shared" si="0"/>
        <v>39916.6702425072</v>
      </c>
      <c r="H11" s="60">
        <v>130002</v>
      </c>
      <c r="I11" s="60"/>
    </row>
    <row r="12" spans="1:9" x14ac:dyDescent="0.25">
      <c r="A12" s="6">
        <v>1969</v>
      </c>
      <c r="B12" s="12">
        <v>8000</v>
      </c>
      <c r="C12" s="4">
        <v>3005.3203792718205</v>
      </c>
      <c r="D12" s="4">
        <v>4059.3065827843084</v>
      </c>
      <c r="E12" s="4">
        <v>902.04113415514803</v>
      </c>
      <c r="F12" s="11">
        <f t="shared" si="0"/>
        <v>15966.668096211277</v>
      </c>
      <c r="H12" s="60">
        <v>45587</v>
      </c>
      <c r="I12" s="60"/>
    </row>
    <row r="13" spans="1:9" x14ac:dyDescent="0.25">
      <c r="A13" s="6">
        <v>1970</v>
      </c>
      <c r="B13" s="12">
        <v>15000</v>
      </c>
      <c r="C13" s="12">
        <v>1000</v>
      </c>
      <c r="D13" s="12">
        <v>3000</v>
      </c>
      <c r="E13" s="4">
        <v>1137.6837643263359</v>
      </c>
      <c r="F13" s="11">
        <f t="shared" si="0"/>
        <v>20137.683764326335</v>
      </c>
      <c r="H13" s="60">
        <v>80392</v>
      </c>
      <c r="I13" s="60"/>
    </row>
    <row r="14" spans="1:9" x14ac:dyDescent="0.25">
      <c r="A14" s="6">
        <v>1971</v>
      </c>
      <c r="B14" s="12">
        <v>30000</v>
      </c>
      <c r="C14" s="12">
        <v>5000</v>
      </c>
      <c r="D14" s="12">
        <v>12000</v>
      </c>
      <c r="E14" s="12">
        <v>2000</v>
      </c>
      <c r="F14" s="11">
        <f t="shared" si="0"/>
        <v>49000</v>
      </c>
      <c r="H14" s="60">
        <v>15266</v>
      </c>
      <c r="I14" s="60"/>
    </row>
    <row r="15" spans="1:9" x14ac:dyDescent="0.25">
      <c r="A15" s="6">
        <v>1972</v>
      </c>
      <c r="B15" s="12">
        <v>20000</v>
      </c>
      <c r="C15" s="4">
        <v>5731.8692566457485</v>
      </c>
      <c r="D15" s="12">
        <v>3000</v>
      </c>
      <c r="E15" s="4">
        <v>1720.4095374548401</v>
      </c>
      <c r="F15" s="11">
        <f t="shared" si="0"/>
        <v>30452.278794100588</v>
      </c>
      <c r="H15" s="60">
        <v>109744</v>
      </c>
      <c r="I15" s="60"/>
    </row>
    <row r="16" spans="1:9" x14ac:dyDescent="0.25">
      <c r="A16" s="6">
        <v>1973</v>
      </c>
      <c r="B16" s="4">
        <v>9769.7604488121051</v>
      </c>
      <c r="C16" s="4">
        <v>3670.1575116523072</v>
      </c>
      <c r="D16" s="4">
        <v>4957.3066067190593</v>
      </c>
      <c r="E16" s="4">
        <v>1101.5907172524987</v>
      </c>
      <c r="F16" s="11">
        <f t="shared" si="0"/>
        <v>19498.815284435972</v>
      </c>
      <c r="H16" s="60">
        <v>8554</v>
      </c>
      <c r="I16" s="60"/>
    </row>
    <row r="17" spans="1:9" x14ac:dyDescent="0.25">
      <c r="A17" s="6">
        <v>1974</v>
      </c>
      <c r="B17" s="12">
        <v>10000</v>
      </c>
      <c r="C17" s="4">
        <v>3239.7521883125287</v>
      </c>
      <c r="D17" s="12">
        <v>3000</v>
      </c>
      <c r="E17" s="4">
        <v>972.4053906809396</v>
      </c>
      <c r="F17" s="11">
        <f t="shared" si="0"/>
        <v>17212.157578993469</v>
      </c>
      <c r="H17" s="60">
        <v>22951</v>
      </c>
      <c r="I17" s="60"/>
    </row>
    <row r="18" spans="1:9" x14ac:dyDescent="0.25">
      <c r="A18" s="6">
        <v>1975</v>
      </c>
      <c r="B18" s="12">
        <v>10000</v>
      </c>
      <c r="C18" s="12">
        <v>2000</v>
      </c>
      <c r="D18" s="4">
        <v>4426.1936323419804</v>
      </c>
      <c r="E18" s="4">
        <v>983.56914755208834</v>
      </c>
      <c r="F18" s="11">
        <f t="shared" si="0"/>
        <v>17409.762779894067</v>
      </c>
      <c r="H18" s="60">
        <v>0</v>
      </c>
      <c r="I18" s="60"/>
    </row>
    <row r="19" spans="1:9" x14ac:dyDescent="0.25">
      <c r="A19" s="6">
        <v>1976</v>
      </c>
      <c r="B19" s="12">
        <v>2000</v>
      </c>
      <c r="C19" s="12">
        <v>1500</v>
      </c>
      <c r="D19" s="12">
        <v>2000</v>
      </c>
      <c r="E19" s="4">
        <v>329.32951070083266</v>
      </c>
      <c r="F19" s="11">
        <f t="shared" si="0"/>
        <v>5829.3295107008325</v>
      </c>
      <c r="H19" s="60">
        <v>0</v>
      </c>
      <c r="I19" s="60"/>
    </row>
    <row r="20" spans="1:9" x14ac:dyDescent="0.25">
      <c r="A20" s="6">
        <v>1977</v>
      </c>
      <c r="B20" s="12">
        <v>7000</v>
      </c>
      <c r="C20" s="12">
        <v>12500</v>
      </c>
      <c r="D20" s="12">
        <v>12500</v>
      </c>
      <c r="E20" s="4">
        <v>1916.0989713495949</v>
      </c>
      <c r="F20" s="11">
        <f t="shared" si="0"/>
        <v>33916.098971349595</v>
      </c>
      <c r="H20" s="60">
        <v>0</v>
      </c>
      <c r="I20" s="60"/>
    </row>
    <row r="21" spans="1:9" x14ac:dyDescent="0.25">
      <c r="A21" s="6">
        <v>1978</v>
      </c>
      <c r="B21" s="12">
        <v>7000</v>
      </c>
      <c r="C21" s="12">
        <v>8000</v>
      </c>
      <c r="D21" s="12">
        <v>18000</v>
      </c>
      <c r="E21" s="4">
        <v>1975.977064203538</v>
      </c>
      <c r="F21" s="11">
        <f t="shared" si="0"/>
        <v>34975.977064203536</v>
      </c>
      <c r="H21" s="60">
        <v>0</v>
      </c>
      <c r="I21" s="60"/>
    </row>
    <row r="22" spans="1:9" x14ac:dyDescent="0.25">
      <c r="A22" s="6">
        <v>1979</v>
      </c>
      <c r="B22" s="12">
        <v>14000</v>
      </c>
      <c r="C22" s="12">
        <v>20000</v>
      </c>
      <c r="D22" s="12">
        <v>20000</v>
      </c>
      <c r="E22" s="4">
        <v>3233.417014149356</v>
      </c>
      <c r="F22" s="11">
        <f t="shared" si="0"/>
        <v>57233.417014149352</v>
      </c>
      <c r="H22" s="60">
        <v>78926</v>
      </c>
      <c r="I22" s="60"/>
    </row>
    <row r="23" spans="1:9" x14ac:dyDescent="0.25">
      <c r="A23" s="6">
        <v>1980</v>
      </c>
      <c r="B23" s="12">
        <v>7110</v>
      </c>
      <c r="C23" s="12">
        <v>632</v>
      </c>
      <c r="D23" s="12">
        <v>18644</v>
      </c>
      <c r="E23" s="4">
        <v>1579.9433580615</v>
      </c>
      <c r="F23" s="11">
        <f t="shared" si="0"/>
        <v>27965.9433580615</v>
      </c>
      <c r="H23" s="60">
        <v>0</v>
      </c>
      <c r="I23" s="60"/>
    </row>
    <row r="24" spans="1:9" x14ac:dyDescent="0.25">
      <c r="A24" s="6">
        <v>1981</v>
      </c>
      <c r="B24" s="12">
        <v>63200</v>
      </c>
      <c r="C24" s="12">
        <v>7900</v>
      </c>
      <c r="D24" s="12">
        <v>39500</v>
      </c>
      <c r="E24" s="12">
        <v>4740</v>
      </c>
      <c r="F24" s="11">
        <f t="shared" si="0"/>
        <v>115340</v>
      </c>
      <c r="H24" s="60">
        <v>0</v>
      </c>
      <c r="I24" s="60"/>
    </row>
    <row r="25" spans="1:9" x14ac:dyDescent="0.25">
      <c r="A25" s="6">
        <v>1982</v>
      </c>
      <c r="B25" s="12">
        <v>34760</v>
      </c>
      <c r="C25" s="12">
        <v>4740</v>
      </c>
      <c r="D25" s="12">
        <v>26070</v>
      </c>
      <c r="E25" s="12">
        <v>11850</v>
      </c>
      <c r="F25" s="11">
        <f t="shared" si="0"/>
        <v>77420</v>
      </c>
      <c r="H25" s="60">
        <v>515143</v>
      </c>
      <c r="I25" s="60"/>
    </row>
    <row r="26" spans="1:9" x14ac:dyDescent="0.25">
      <c r="A26" s="6">
        <v>1983</v>
      </c>
      <c r="B26" s="12">
        <v>23700</v>
      </c>
      <c r="C26" s="12">
        <v>9480</v>
      </c>
      <c r="D26" s="12">
        <v>9717</v>
      </c>
      <c r="E26" s="12">
        <v>316</v>
      </c>
      <c r="F26" s="11">
        <f t="shared" si="0"/>
        <v>43213</v>
      </c>
      <c r="H26" s="60">
        <v>221066</v>
      </c>
      <c r="I26" s="60"/>
    </row>
    <row r="27" spans="1:9" x14ac:dyDescent="0.25">
      <c r="A27" s="6">
        <v>1984</v>
      </c>
      <c r="B27" s="12">
        <v>41080</v>
      </c>
      <c r="C27" s="12">
        <v>7900</v>
      </c>
      <c r="D27" s="12">
        <v>15800</v>
      </c>
      <c r="E27" s="12">
        <v>1580</v>
      </c>
      <c r="F27" s="11">
        <f t="shared" si="0"/>
        <v>66360</v>
      </c>
      <c r="H27" s="60">
        <v>93022</v>
      </c>
      <c r="I27" s="60"/>
    </row>
    <row r="28" spans="1:9" x14ac:dyDescent="0.25">
      <c r="A28" s="6">
        <v>1985</v>
      </c>
      <c r="B28" s="12">
        <v>57670</v>
      </c>
      <c r="C28" s="12">
        <v>22120</v>
      </c>
      <c r="D28" s="12">
        <v>17380</v>
      </c>
      <c r="E28" s="12">
        <v>2370</v>
      </c>
      <c r="F28" s="11">
        <f t="shared" si="0"/>
        <v>99540</v>
      </c>
      <c r="H28" s="60">
        <v>383133</v>
      </c>
      <c r="I28" s="60"/>
    </row>
    <row r="29" spans="1:9" x14ac:dyDescent="0.25">
      <c r="A29" s="6">
        <v>1986</v>
      </c>
      <c r="B29" s="12">
        <v>22120</v>
      </c>
      <c r="C29" s="12">
        <v>2370</v>
      </c>
      <c r="D29" s="12">
        <v>3160</v>
      </c>
      <c r="E29" s="12">
        <v>474</v>
      </c>
      <c r="F29" s="11">
        <f t="shared" si="0"/>
        <v>28124</v>
      </c>
      <c r="H29" s="60">
        <v>78721</v>
      </c>
      <c r="I29" s="60"/>
    </row>
    <row r="30" spans="1:9" x14ac:dyDescent="0.25">
      <c r="A30" s="6">
        <v>1987</v>
      </c>
      <c r="B30" s="12">
        <v>40290</v>
      </c>
      <c r="C30" s="12">
        <v>7900</v>
      </c>
      <c r="D30" s="12">
        <v>5135</v>
      </c>
      <c r="E30" s="12">
        <v>4740</v>
      </c>
      <c r="F30" s="11">
        <f t="shared" si="0"/>
        <v>58065</v>
      </c>
      <c r="H30" s="163">
        <v>361763</v>
      </c>
      <c r="I30" s="60"/>
    </row>
    <row r="31" spans="1:9" x14ac:dyDescent="0.25">
      <c r="A31" s="6">
        <v>1988</v>
      </c>
      <c r="B31" s="12">
        <v>43450</v>
      </c>
      <c r="C31" s="12">
        <v>1185</v>
      </c>
      <c r="D31" s="12">
        <v>8690</v>
      </c>
      <c r="E31" s="12">
        <v>395</v>
      </c>
      <c r="F31" s="11">
        <f t="shared" si="0"/>
        <v>53720</v>
      </c>
      <c r="H31" s="163">
        <v>247048</v>
      </c>
      <c r="I31" s="60"/>
    </row>
    <row r="32" spans="1:9" x14ac:dyDescent="0.25">
      <c r="A32" s="6">
        <v>1989</v>
      </c>
      <c r="B32" s="12">
        <v>49770</v>
      </c>
      <c r="C32" s="12">
        <v>15800</v>
      </c>
      <c r="D32" s="12">
        <v>17380</v>
      </c>
      <c r="E32" s="12">
        <v>7110</v>
      </c>
      <c r="F32" s="11">
        <f t="shared" si="0"/>
        <v>90060</v>
      </c>
      <c r="H32" s="163">
        <v>505206</v>
      </c>
      <c r="I32" s="60"/>
    </row>
    <row r="33" spans="1:9" x14ac:dyDescent="0.25">
      <c r="A33" s="6">
        <v>1990</v>
      </c>
      <c r="B33" s="12">
        <v>7900</v>
      </c>
      <c r="C33" s="12">
        <v>5530</v>
      </c>
      <c r="D33" s="12">
        <v>9480</v>
      </c>
      <c r="E33" s="12">
        <v>2765</v>
      </c>
      <c r="F33" s="11">
        <f t="shared" si="0"/>
        <v>25675</v>
      </c>
      <c r="H33" s="163">
        <v>1334</v>
      </c>
      <c r="I33" s="60"/>
    </row>
    <row r="34" spans="1:9" x14ac:dyDescent="0.25">
      <c r="A34" s="6">
        <v>1991</v>
      </c>
      <c r="B34" s="12">
        <v>51350</v>
      </c>
      <c r="C34" s="12">
        <v>23700</v>
      </c>
      <c r="D34" s="12">
        <v>27650</v>
      </c>
      <c r="E34" s="12">
        <v>7900</v>
      </c>
      <c r="F34" s="11">
        <f t="shared" si="0"/>
        <v>110600</v>
      </c>
      <c r="H34" s="163">
        <v>336035</v>
      </c>
      <c r="I34" s="60"/>
    </row>
    <row r="35" spans="1:9" x14ac:dyDescent="0.25">
      <c r="A35" s="6">
        <v>1992</v>
      </c>
      <c r="B35" s="12">
        <v>13000</v>
      </c>
      <c r="C35" s="12">
        <v>5000</v>
      </c>
      <c r="D35" s="12">
        <v>11060</v>
      </c>
      <c r="E35" s="4">
        <v>1740.0573783541756</v>
      </c>
      <c r="F35" s="11">
        <f t="shared" si="0"/>
        <v>30800.057378354177</v>
      </c>
      <c r="H35" s="163">
        <v>0</v>
      </c>
      <c r="I35" s="60"/>
    </row>
    <row r="36" spans="1:9" x14ac:dyDescent="0.25">
      <c r="A36" s="6">
        <v>1993</v>
      </c>
      <c r="B36" s="12">
        <v>35550</v>
      </c>
      <c r="C36" s="12">
        <v>15010</v>
      </c>
      <c r="D36" s="12">
        <v>27650</v>
      </c>
      <c r="E36" s="12">
        <v>9480</v>
      </c>
      <c r="F36" s="11">
        <f t="shared" si="0"/>
        <v>87690</v>
      </c>
      <c r="H36" s="163">
        <v>0</v>
      </c>
      <c r="I36" s="60"/>
    </row>
    <row r="37" spans="1:9" x14ac:dyDescent="0.25">
      <c r="A37" s="6">
        <v>1994</v>
      </c>
      <c r="B37" s="12">
        <v>55000</v>
      </c>
      <c r="C37" s="12">
        <v>15010</v>
      </c>
      <c r="D37" s="12">
        <v>40000</v>
      </c>
      <c r="E37" s="12">
        <v>1580</v>
      </c>
      <c r="F37" s="11">
        <f t="shared" si="0"/>
        <v>111590</v>
      </c>
      <c r="H37" s="163">
        <v>292077</v>
      </c>
      <c r="I37" s="60"/>
    </row>
    <row r="38" spans="1:9" x14ac:dyDescent="0.25">
      <c r="A38" s="6">
        <v>1995</v>
      </c>
      <c r="B38" s="12">
        <v>6000</v>
      </c>
      <c r="C38" s="12">
        <v>11000</v>
      </c>
      <c r="D38" s="12">
        <v>2500</v>
      </c>
      <c r="E38" s="4">
        <v>1167.6228106641302</v>
      </c>
      <c r="F38" s="11">
        <f t="shared" si="0"/>
        <v>20667.622810664128</v>
      </c>
      <c r="H38" s="163">
        <v>0</v>
      </c>
      <c r="I38" s="60"/>
    </row>
    <row r="39" spans="1:9" x14ac:dyDescent="0.25">
      <c r="A39" s="6">
        <v>1996</v>
      </c>
      <c r="B39" s="12">
        <v>30000</v>
      </c>
      <c r="C39" s="12">
        <v>37000</v>
      </c>
      <c r="D39" s="12">
        <v>6000</v>
      </c>
      <c r="E39" s="12">
        <v>4500</v>
      </c>
      <c r="F39" s="11">
        <f t="shared" si="0"/>
        <v>77500</v>
      </c>
      <c r="H39" s="163">
        <v>32544</v>
      </c>
      <c r="I39" s="60"/>
    </row>
    <row r="40" spans="1:9" x14ac:dyDescent="0.25">
      <c r="A40" s="6">
        <v>1997</v>
      </c>
      <c r="B40" s="12">
        <v>81000</v>
      </c>
      <c r="C40" s="12">
        <v>41000</v>
      </c>
      <c r="D40" s="12">
        <v>31000</v>
      </c>
      <c r="E40" s="4">
        <v>9161.3482067362911</v>
      </c>
      <c r="F40" s="11">
        <f t="shared" si="0"/>
        <v>162161.34820673629</v>
      </c>
      <c r="H40" s="163">
        <v>65769</v>
      </c>
      <c r="I40" s="60"/>
    </row>
    <row r="41" spans="1:9" x14ac:dyDescent="0.25">
      <c r="A41" s="7">
        <v>1998</v>
      </c>
      <c r="B41" s="5">
        <v>62000</v>
      </c>
      <c r="C41" s="5">
        <v>17000</v>
      </c>
      <c r="D41" s="5">
        <v>21000</v>
      </c>
      <c r="E41" s="5">
        <v>100</v>
      </c>
      <c r="F41" s="11">
        <f t="shared" si="0"/>
        <v>100100</v>
      </c>
      <c r="H41" s="163">
        <v>292335</v>
      </c>
      <c r="I41" s="60"/>
    </row>
    <row r="42" spans="1:9" x14ac:dyDescent="0.25">
      <c r="A42" s="8">
        <v>1999</v>
      </c>
      <c r="B42" s="5">
        <v>106000</v>
      </c>
      <c r="C42" s="5">
        <v>175000</v>
      </c>
      <c r="D42" s="5">
        <v>21000</v>
      </c>
      <c r="E42" s="4">
        <v>17094.363264899977</v>
      </c>
      <c r="F42" s="11">
        <f t="shared" si="0"/>
        <v>319094.36326489999</v>
      </c>
      <c r="H42" s="163">
        <v>561778</v>
      </c>
      <c r="I42" s="60"/>
    </row>
    <row r="43" spans="1:9" x14ac:dyDescent="0.25">
      <c r="A43" s="8">
        <v>2000</v>
      </c>
      <c r="B43" s="5">
        <v>24000</v>
      </c>
      <c r="C43" s="5">
        <v>37000</v>
      </c>
      <c r="D43" s="5">
        <v>20000</v>
      </c>
      <c r="E43" s="4">
        <v>4584.9120015129092</v>
      </c>
      <c r="F43" s="11">
        <f t="shared" si="0"/>
        <v>85584.912001512916</v>
      </c>
      <c r="H43" s="163">
        <v>43722</v>
      </c>
      <c r="I43" s="60"/>
    </row>
    <row r="44" spans="1:9" x14ac:dyDescent="0.25">
      <c r="A44" s="8">
        <v>2001</v>
      </c>
      <c r="B44" s="5">
        <v>34000</v>
      </c>
      <c r="C44" s="5">
        <v>105000</v>
      </c>
      <c r="D44" s="5">
        <v>12000</v>
      </c>
      <c r="E44" s="5">
        <v>300</v>
      </c>
      <c r="F44" s="11">
        <f t="shared" si="0"/>
        <v>151300</v>
      </c>
      <c r="H44" s="163">
        <v>214612</v>
      </c>
      <c r="I44" s="60"/>
    </row>
    <row r="45" spans="1:9" x14ac:dyDescent="0.25">
      <c r="A45" s="9">
        <v>2002</v>
      </c>
      <c r="B45" s="5">
        <v>18150</v>
      </c>
      <c r="C45" s="5">
        <v>36300</v>
      </c>
      <c r="D45" s="5">
        <v>14520</v>
      </c>
      <c r="E45" s="4">
        <v>3660.0765129106194</v>
      </c>
      <c r="F45" s="11">
        <f t="shared" si="0"/>
        <v>72630.076512910615</v>
      </c>
      <c r="H45" s="163">
        <v>0</v>
      </c>
      <c r="I45" s="60"/>
    </row>
    <row r="46" spans="1:9" x14ac:dyDescent="0.25">
      <c r="A46" s="9">
        <v>2003</v>
      </c>
      <c r="B46" s="16">
        <v>170000</v>
      </c>
      <c r="C46" s="5">
        <v>292500</v>
      </c>
      <c r="D46" s="5">
        <v>55000</v>
      </c>
      <c r="E46" s="5">
        <v>1755</v>
      </c>
      <c r="F46" s="11">
        <f t="shared" si="0"/>
        <v>519255</v>
      </c>
      <c r="H46" s="163">
        <v>339117</v>
      </c>
      <c r="I46" s="60"/>
    </row>
    <row r="47" spans="1:9" x14ac:dyDescent="0.25">
      <c r="A47" s="8">
        <v>2004</v>
      </c>
      <c r="B47" s="5">
        <v>18000</v>
      </c>
      <c r="C47" s="5">
        <v>24000</v>
      </c>
      <c r="D47" s="5">
        <v>34000</v>
      </c>
      <c r="E47" s="5">
        <v>2800</v>
      </c>
      <c r="F47" s="11">
        <f t="shared" si="0"/>
        <v>78800</v>
      </c>
      <c r="H47" s="163">
        <v>514031</v>
      </c>
      <c r="I47" s="60"/>
    </row>
    <row r="48" spans="1:9" x14ac:dyDescent="0.25">
      <c r="A48" s="8">
        <v>2005</v>
      </c>
      <c r="B48" s="5">
        <v>157000</v>
      </c>
      <c r="C48" s="5">
        <v>124000</v>
      </c>
      <c r="D48" s="5">
        <v>48000</v>
      </c>
      <c r="E48" s="4">
        <v>14499.530670028911</v>
      </c>
      <c r="F48" s="11">
        <f t="shared" si="0"/>
        <v>343499.53067002894</v>
      </c>
      <c r="H48" s="163">
        <v>2144048</v>
      </c>
      <c r="I48" s="60"/>
    </row>
    <row r="49" spans="1:10" x14ac:dyDescent="0.25">
      <c r="A49" s="9">
        <v>2006</v>
      </c>
      <c r="B49" s="11">
        <v>19000</v>
      </c>
      <c r="C49" s="11">
        <v>4000</v>
      </c>
      <c r="D49" s="11">
        <v>16000</v>
      </c>
      <c r="E49" s="11">
        <v>2500</v>
      </c>
      <c r="F49" s="11">
        <f>SUM(B49:E49)</f>
        <v>41500</v>
      </c>
      <c r="H49" s="163">
        <v>0</v>
      </c>
      <c r="I49" s="60"/>
    </row>
    <row r="50" spans="1:10" x14ac:dyDescent="0.25">
      <c r="A50" s="9">
        <v>2007</v>
      </c>
      <c r="B50" s="11">
        <v>82000</v>
      </c>
      <c r="C50" s="11">
        <v>52000</v>
      </c>
      <c r="D50" s="11">
        <v>17000</v>
      </c>
      <c r="E50" s="11">
        <v>6000</v>
      </c>
      <c r="F50" s="11">
        <f t="shared" si="0"/>
        <v>157000</v>
      </c>
      <c r="H50" s="163">
        <v>277557</v>
      </c>
      <c r="I50" s="60"/>
    </row>
    <row r="51" spans="1:10" x14ac:dyDescent="0.25">
      <c r="A51" s="48">
        <v>2008</v>
      </c>
      <c r="B51" s="10">
        <v>42000</v>
      </c>
      <c r="C51" s="11">
        <v>18000</v>
      </c>
      <c r="D51" s="11">
        <v>11000</v>
      </c>
      <c r="E51" s="11">
        <v>1600</v>
      </c>
      <c r="F51" s="11">
        <f t="shared" si="0"/>
        <v>72600</v>
      </c>
      <c r="H51" s="163">
        <v>0</v>
      </c>
      <c r="I51" s="60"/>
    </row>
    <row r="52" spans="1:10" ht="13.8" thickBot="1" x14ac:dyDescent="0.3">
      <c r="A52" s="48">
        <v>2009</v>
      </c>
      <c r="B52" s="10">
        <v>72000</v>
      </c>
      <c r="C52" s="11">
        <v>87000</v>
      </c>
      <c r="D52" s="11">
        <v>16000</v>
      </c>
      <c r="E52" s="11">
        <v>11000</v>
      </c>
      <c r="F52" s="11">
        <f t="shared" si="0"/>
        <v>186000</v>
      </c>
      <c r="H52" s="163">
        <v>433960</v>
      </c>
      <c r="I52" s="60"/>
    </row>
    <row r="53" spans="1:10" x14ac:dyDescent="0.25">
      <c r="A53" s="48">
        <v>2010</v>
      </c>
      <c r="B53" s="10">
        <v>55000</v>
      </c>
      <c r="C53" s="11">
        <v>18000</v>
      </c>
      <c r="D53" s="11">
        <v>10000</v>
      </c>
      <c r="E53" s="11">
        <v>2500</v>
      </c>
      <c r="F53" s="11">
        <f t="shared" si="0"/>
        <v>85500</v>
      </c>
      <c r="H53" s="163">
        <v>0</v>
      </c>
      <c r="I53" s="192" t="s">
        <v>289</v>
      </c>
      <c r="J53" s="193"/>
    </row>
    <row r="54" spans="1:10" ht="13.8" thickBot="1" x14ac:dyDescent="0.3">
      <c r="A54" s="48">
        <v>2011</v>
      </c>
      <c r="B54" s="10">
        <v>138000</v>
      </c>
      <c r="C54" s="11">
        <v>61000</v>
      </c>
      <c r="D54" s="11">
        <v>16000</v>
      </c>
      <c r="E54" s="11">
        <v>10000</v>
      </c>
      <c r="F54" s="11">
        <f t="shared" si="0"/>
        <v>225000</v>
      </c>
      <c r="H54" s="163">
        <v>1682374</v>
      </c>
      <c r="I54" s="50">
        <v>30000</v>
      </c>
      <c r="J54" s="53">
        <v>60000</v>
      </c>
    </row>
    <row r="55" spans="1:10" ht="13.8" thickBot="1" x14ac:dyDescent="0.3">
      <c r="A55" s="48">
        <v>2012</v>
      </c>
      <c r="B55" s="92">
        <v>8000</v>
      </c>
      <c r="C55" s="90">
        <v>1600</v>
      </c>
      <c r="D55" s="90">
        <v>5000</v>
      </c>
      <c r="E55" s="90">
        <v>1200</v>
      </c>
      <c r="F55" s="11">
        <f t="shared" si="0"/>
        <v>15800</v>
      </c>
      <c r="H55" s="163">
        <v>0</v>
      </c>
      <c r="I55" s="175">
        <v>60000</v>
      </c>
      <c r="J55" s="176">
        <v>140000</v>
      </c>
    </row>
    <row r="56" spans="1:10" x14ac:dyDescent="0.25">
      <c r="A56" s="48">
        <v>2013</v>
      </c>
      <c r="B56" s="92">
        <v>90000</v>
      </c>
      <c r="C56" s="90">
        <v>59000</v>
      </c>
      <c r="D56" s="90">
        <v>35000</v>
      </c>
      <c r="E56" s="90">
        <v>20000</v>
      </c>
      <c r="F56" s="11">
        <f t="shared" si="0"/>
        <v>204000</v>
      </c>
      <c r="H56" s="163">
        <v>676795</v>
      </c>
      <c r="I56" s="30"/>
      <c r="J56" s="30"/>
    </row>
    <row r="57" spans="1:10" x14ac:dyDescent="0.25">
      <c r="A57" s="48">
        <v>2014</v>
      </c>
      <c r="B57" s="92">
        <v>6000</v>
      </c>
      <c r="C57" s="90">
        <v>1500</v>
      </c>
      <c r="D57" s="90">
        <v>2500</v>
      </c>
      <c r="E57" s="90">
        <v>500</v>
      </c>
      <c r="F57" s="11">
        <f t="shared" si="0"/>
        <v>10500</v>
      </c>
      <c r="H57" s="163">
        <v>0</v>
      </c>
      <c r="I57" s="30"/>
      <c r="J57" s="30"/>
    </row>
    <row r="58" spans="1:10" x14ac:dyDescent="0.25">
      <c r="A58" s="48">
        <v>2015</v>
      </c>
      <c r="B58" s="92">
        <v>55000</v>
      </c>
      <c r="C58" s="90">
        <v>28000</v>
      </c>
      <c r="D58" s="90">
        <v>6000</v>
      </c>
      <c r="E58" s="90">
        <v>8000</v>
      </c>
      <c r="F58" s="11">
        <f t="shared" ref="F58:F67" si="1">SUM(B58:E58)</f>
        <v>97000</v>
      </c>
      <c r="H58" s="163">
        <v>33404</v>
      </c>
      <c r="I58" s="30"/>
      <c r="J58" s="30"/>
    </row>
    <row r="59" spans="1:10" x14ac:dyDescent="0.25">
      <c r="A59" s="48">
        <v>2016</v>
      </c>
      <c r="B59" s="11">
        <v>17000</v>
      </c>
      <c r="C59" s="11">
        <v>16000</v>
      </c>
      <c r="D59" s="11">
        <v>17000</v>
      </c>
      <c r="E59" s="11">
        <v>23000</v>
      </c>
      <c r="F59" s="11">
        <f t="shared" si="1"/>
        <v>73000</v>
      </c>
      <c r="H59" s="163">
        <v>0</v>
      </c>
      <c r="I59" s="54">
        <f t="shared" ref="I59:I63" si="2">H59+F59</f>
        <v>73000</v>
      </c>
      <c r="J59" s="30"/>
    </row>
    <row r="60" spans="1:10" x14ac:dyDescent="0.25">
      <c r="A60" s="48">
        <v>2017</v>
      </c>
      <c r="B60" s="92">
        <v>47000</v>
      </c>
      <c r="C60" s="11">
        <v>23000</v>
      </c>
      <c r="D60">
        <v>30000</v>
      </c>
      <c r="E60" s="11">
        <v>20000</v>
      </c>
      <c r="F60" s="11">
        <f t="shared" si="1"/>
        <v>120000</v>
      </c>
      <c r="H60" s="164">
        <v>95983</v>
      </c>
      <c r="I60" s="54">
        <f t="shared" si="2"/>
        <v>215983</v>
      </c>
      <c r="J60" s="30"/>
    </row>
    <row r="61" spans="1:10" x14ac:dyDescent="0.25">
      <c r="A61" s="48">
        <v>2018</v>
      </c>
      <c r="B61" s="92">
        <v>14000</v>
      </c>
      <c r="C61" s="11">
        <v>12500</v>
      </c>
      <c r="D61" s="11">
        <v>8000</v>
      </c>
      <c r="E61" s="11">
        <v>0</v>
      </c>
      <c r="F61" s="11">
        <f t="shared" si="1"/>
        <v>34500</v>
      </c>
      <c r="H61" s="162">
        <v>1738</v>
      </c>
      <c r="I61" s="54">
        <f t="shared" si="2"/>
        <v>36238</v>
      </c>
    </row>
    <row r="62" spans="1:10" x14ac:dyDescent="0.25">
      <c r="A62" s="48">
        <v>2019</v>
      </c>
      <c r="B62" s="92">
        <v>54000</v>
      </c>
      <c r="C62" s="11">
        <v>29000</v>
      </c>
      <c r="D62" s="11">
        <v>36000</v>
      </c>
      <c r="E62" s="11">
        <v>20000</v>
      </c>
      <c r="F62" s="11">
        <f t="shared" si="1"/>
        <v>139000</v>
      </c>
      <c r="H62" s="163">
        <v>0</v>
      </c>
      <c r="I62" s="54">
        <f t="shared" si="2"/>
        <v>139000</v>
      </c>
    </row>
    <row r="63" spans="1:10" x14ac:dyDescent="0.25">
      <c r="A63" s="48">
        <v>2020</v>
      </c>
      <c r="B63" s="92">
        <v>92000</v>
      </c>
      <c r="C63" s="11">
        <v>13000</v>
      </c>
      <c r="D63" s="11">
        <v>9000</v>
      </c>
      <c r="E63" s="11">
        <v>3000</v>
      </c>
      <c r="F63" s="11">
        <f t="shared" si="1"/>
        <v>117000</v>
      </c>
      <c r="H63" s="163">
        <v>0</v>
      </c>
      <c r="I63" s="54">
        <f t="shared" si="2"/>
        <v>117000</v>
      </c>
    </row>
    <row r="64" spans="1:10" x14ac:dyDescent="0.25">
      <c r="A64" s="48">
        <v>2021</v>
      </c>
      <c r="B64" s="92">
        <v>38000</v>
      </c>
      <c r="C64" s="11">
        <v>36000</v>
      </c>
      <c r="D64" s="11">
        <v>15000</v>
      </c>
      <c r="E64" s="11">
        <v>6000</v>
      </c>
      <c r="F64" s="11">
        <f t="shared" si="1"/>
        <v>95000</v>
      </c>
      <c r="H64" s="181">
        <v>14691</v>
      </c>
      <c r="I64" s="54">
        <f>H64+F64</f>
        <v>109691</v>
      </c>
    </row>
    <row r="65" spans="1:10" x14ac:dyDescent="0.25">
      <c r="A65" s="48">
        <v>2022</v>
      </c>
      <c r="B65" s="92">
        <v>34000</v>
      </c>
      <c r="C65" s="11">
        <v>9000</v>
      </c>
      <c r="D65" s="11">
        <v>4000</v>
      </c>
      <c r="E65" s="11">
        <v>3000</v>
      </c>
      <c r="F65" s="11">
        <f t="shared" si="1"/>
        <v>50000</v>
      </c>
      <c r="H65" s="185">
        <v>112367</v>
      </c>
      <c r="I65" s="54">
        <v>50000</v>
      </c>
    </row>
    <row r="66" spans="1:10" x14ac:dyDescent="0.25">
      <c r="A66" s="48">
        <v>2023</v>
      </c>
      <c r="B66" s="92">
        <v>67000</v>
      </c>
      <c r="C66" s="11">
        <v>51000</v>
      </c>
      <c r="D66" s="11">
        <v>59000</v>
      </c>
      <c r="E66" s="11">
        <v>23500</v>
      </c>
      <c r="F66" s="11">
        <f t="shared" si="1"/>
        <v>200500</v>
      </c>
      <c r="H66" s="185">
        <v>235638</v>
      </c>
      <c r="J66" s="187">
        <v>285603</v>
      </c>
    </row>
    <row r="67" spans="1:10" x14ac:dyDescent="0.25">
      <c r="A67" s="48">
        <v>2024</v>
      </c>
      <c r="B67" s="188">
        <v>29000</v>
      </c>
      <c r="C67" s="108">
        <v>16000</v>
      </c>
      <c r="D67" s="108">
        <v>17000</v>
      </c>
      <c r="E67" s="108">
        <v>13000</v>
      </c>
      <c r="F67" s="11">
        <f t="shared" si="1"/>
        <v>75000</v>
      </c>
      <c r="H67" s="185"/>
      <c r="J67" s="187"/>
    </row>
    <row r="68" spans="1:10" ht="13.8" x14ac:dyDescent="0.25">
      <c r="A68" s="66" t="s">
        <v>108</v>
      </c>
      <c r="B68" s="67">
        <f>AVERAGE(B3:B67)</f>
        <v>37692.038043134293</v>
      </c>
      <c r="C68" s="67">
        <f>AVERAGE(C3:C67)</f>
        <v>25925.952887373434</v>
      </c>
      <c r="D68" s="67">
        <f>AVERAGE(D3:D67)</f>
        <v>15578.797094154328</v>
      </c>
      <c r="E68" s="67">
        <f>AVERAGE(E3:E67)</f>
        <v>4942.7712324217464</v>
      </c>
      <c r="F68" s="67">
        <f>AVERAGE(F3:F59)</f>
        <v>81369.672837025399</v>
      </c>
      <c r="G68" s="79"/>
      <c r="H68" s="67">
        <f>AVERAGE(H3:H61)</f>
        <v>197855.67796610171</v>
      </c>
      <c r="I68" s="33"/>
    </row>
    <row r="69" spans="1:10" ht="13.8" x14ac:dyDescent="0.25">
      <c r="A69" s="22" t="s">
        <v>360</v>
      </c>
      <c r="B69" s="33">
        <f>AVERAGE(B57:B66)</f>
        <v>42400</v>
      </c>
      <c r="C69" s="33">
        <f t="shared" ref="C69:H69" si="3">AVERAGE(C57:C66)</f>
        <v>21900</v>
      </c>
      <c r="D69" s="33">
        <f t="shared" si="3"/>
        <v>18650</v>
      </c>
      <c r="E69" s="33">
        <f t="shared" si="3"/>
        <v>10700</v>
      </c>
      <c r="F69" s="33">
        <f t="shared" si="3"/>
        <v>93650</v>
      </c>
      <c r="G69" s="33"/>
      <c r="H69" s="33">
        <f t="shared" si="3"/>
        <v>49382.1</v>
      </c>
      <c r="I69" s="33"/>
    </row>
    <row r="70" spans="1:10" ht="13.8" x14ac:dyDescent="0.25">
      <c r="A70" s="22" t="s">
        <v>361</v>
      </c>
      <c r="B70" s="14">
        <f>RANK(B67,B3:B67)</f>
        <v>33</v>
      </c>
      <c r="C70" s="14">
        <f t="shared" ref="C70:H70" si="4">RANK(C67,C3:C67)</f>
        <v>25</v>
      </c>
      <c r="D70" s="14">
        <f t="shared" si="4"/>
        <v>22</v>
      </c>
      <c r="E70" s="14">
        <f t="shared" si="4"/>
        <v>8</v>
      </c>
      <c r="F70" s="14">
        <f t="shared" si="4"/>
        <v>28</v>
      </c>
      <c r="G70" s="14"/>
      <c r="H70" s="14">
        <f t="shared" si="4"/>
        <v>47</v>
      </c>
      <c r="I70" s="14"/>
    </row>
    <row r="71" spans="1:10" ht="13.8" x14ac:dyDescent="0.25">
      <c r="A71" s="23" t="s">
        <v>362</v>
      </c>
      <c r="B71" s="55">
        <f>B67/B69</f>
        <v>0.68396226415094341</v>
      </c>
      <c r="C71" s="55">
        <f t="shared" ref="C71:H71" si="5">C67/C69</f>
        <v>0.73059360730593603</v>
      </c>
      <c r="D71" s="55">
        <f t="shared" si="5"/>
        <v>0.91152815013404831</v>
      </c>
      <c r="E71" s="55">
        <f t="shared" si="5"/>
        <v>1.2149532710280373</v>
      </c>
      <c r="F71" s="55">
        <f t="shared" si="5"/>
        <v>0.80085424452749598</v>
      </c>
      <c r="G71" s="55"/>
      <c r="H71" s="55">
        <f t="shared" si="5"/>
        <v>0</v>
      </c>
      <c r="I71" s="49"/>
    </row>
    <row r="72" spans="1:10" x14ac:dyDescent="0.25">
      <c r="A72" s="180" t="s">
        <v>343</v>
      </c>
    </row>
    <row r="74" spans="1:10" x14ac:dyDescent="0.25">
      <c r="H74" s="182" t="s">
        <v>347</v>
      </c>
    </row>
    <row r="76" spans="1:10" ht="13.8" x14ac:dyDescent="0.25">
      <c r="A76" s="158" t="s">
        <v>344</v>
      </c>
    </row>
    <row r="77" spans="1:10" ht="13.8" x14ac:dyDescent="0.25">
      <c r="A77" s="159" t="s">
        <v>345</v>
      </c>
      <c r="B77" s="126"/>
      <c r="C77" s="126"/>
      <c r="D77" s="126"/>
      <c r="E77" s="126"/>
      <c r="F77" s="126"/>
      <c r="H77" s="143"/>
      <c r="I77" s="143"/>
    </row>
    <row r="78" spans="1:10" ht="13.8" x14ac:dyDescent="0.25">
      <c r="A78" s="160" t="s">
        <v>346</v>
      </c>
      <c r="B78" s="126"/>
      <c r="C78" s="126"/>
      <c r="D78" s="126"/>
      <c r="E78" s="126"/>
      <c r="F78" s="126"/>
      <c r="H78" s="126"/>
      <c r="I78" s="143"/>
    </row>
    <row r="79" spans="1:10" x14ac:dyDescent="0.25">
      <c r="A79" s="179" t="s">
        <v>355</v>
      </c>
      <c r="B79" s="11"/>
      <c r="C79" s="11"/>
      <c r="D79" s="11"/>
      <c r="E79" s="11"/>
      <c r="F79" s="11"/>
      <c r="H79" s="11"/>
      <c r="I79" s="143"/>
    </row>
    <row r="80" spans="1:10" x14ac:dyDescent="0.25">
      <c r="A80" s="126"/>
      <c r="B80" s="11"/>
      <c r="C80" s="11"/>
      <c r="D80" s="11"/>
      <c r="E80" s="11"/>
      <c r="F80" s="11"/>
      <c r="H80" s="11"/>
      <c r="I80" s="143"/>
    </row>
    <row r="81" spans="1:9" x14ac:dyDescent="0.25">
      <c r="A81" s="126"/>
      <c r="B81" s="11"/>
      <c r="C81" s="11"/>
      <c r="D81" s="11"/>
      <c r="E81" s="11"/>
      <c r="F81" s="126"/>
      <c r="H81" s="11"/>
      <c r="I81" s="143"/>
    </row>
    <row r="82" spans="1:9" x14ac:dyDescent="0.25">
      <c r="A82" s="126"/>
      <c r="B82" s="11"/>
      <c r="C82" s="11"/>
      <c r="D82" s="11"/>
      <c r="E82" s="11"/>
      <c r="F82" s="126"/>
      <c r="H82" s="11"/>
      <c r="I82" s="143"/>
    </row>
    <row r="83" spans="1:9" x14ac:dyDescent="0.25">
      <c r="A83" s="144"/>
      <c r="B83" s="110"/>
      <c r="C83" s="110"/>
      <c r="D83" s="110"/>
      <c r="E83" s="110"/>
      <c r="F83" s="110"/>
      <c r="H83" s="110"/>
      <c r="I83" s="143"/>
    </row>
    <row r="84" spans="1:9" x14ac:dyDescent="0.25">
      <c r="A84" s="126"/>
      <c r="B84" s="11"/>
      <c r="C84" s="11"/>
      <c r="D84" s="11"/>
      <c r="E84" s="11"/>
      <c r="F84" s="11"/>
      <c r="H84" s="11"/>
      <c r="I84" s="143"/>
    </row>
    <row r="85" spans="1:9" x14ac:dyDescent="0.25">
      <c r="A85" s="126"/>
      <c r="B85" s="11"/>
      <c r="C85" s="11"/>
      <c r="D85" s="11"/>
      <c r="E85" s="11"/>
      <c r="F85" s="11"/>
      <c r="H85"/>
      <c r="I85" s="143"/>
    </row>
    <row r="86" spans="1:9" x14ac:dyDescent="0.25">
      <c r="H86" s="143"/>
      <c r="I86" s="143"/>
    </row>
    <row r="87" spans="1:9" x14ac:dyDescent="0.25">
      <c r="H87" s="143"/>
      <c r="I87" s="143"/>
    </row>
    <row r="88" spans="1:9" x14ac:dyDescent="0.25">
      <c r="A88" s="144"/>
      <c r="B88" s="110"/>
      <c r="H88" s="143"/>
      <c r="I88" s="143"/>
    </row>
    <row r="89" spans="1:9" x14ac:dyDescent="0.25">
      <c r="H89" s="143"/>
      <c r="I89" s="143"/>
    </row>
    <row r="90" spans="1:9" x14ac:dyDescent="0.25">
      <c r="H90" s="143"/>
      <c r="I90" s="143"/>
    </row>
    <row r="91" spans="1:9" x14ac:dyDescent="0.25">
      <c r="H91" s="143"/>
      <c r="I91" s="143"/>
    </row>
  </sheetData>
  <mergeCells count="1">
    <mergeCell ref="I53:J53"/>
  </mergeCells>
  <phoneticPr fontId="10" type="noConversion"/>
  <pageMargins left="0.75" right="0.75" top="1" bottom="1" header="0.5" footer="0.5"/>
  <pageSetup scale="52" orientation="landscape" r:id="rId1"/>
  <headerFooter alignWithMargins="0">
    <oddFooter>&amp;A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92D050"/>
    <pageSetUpPr fitToPage="1"/>
  </sheetPr>
  <dimension ref="A1:K77"/>
  <sheetViews>
    <sheetView tabSelected="1"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E69" sqref="E69"/>
    </sheetView>
  </sheetViews>
  <sheetFormatPr defaultRowHeight="13.2" x14ac:dyDescent="0.25"/>
  <cols>
    <col min="1" max="1" width="22" style="78" bestFit="1" customWidth="1"/>
    <col min="2" max="2" width="20.6640625" customWidth="1"/>
    <col min="3" max="3" width="17.33203125" customWidth="1"/>
    <col min="4" max="4" width="21.33203125" customWidth="1"/>
    <col min="5" max="5" width="18.88671875" bestFit="1" customWidth="1"/>
    <col min="6" max="6" width="11.5546875" style="24" customWidth="1"/>
    <col min="7" max="7" width="2.6640625" style="24" customWidth="1"/>
    <col min="8" max="9" width="8.88671875" style="14" customWidth="1"/>
    <col min="10" max="10" width="10.44140625" bestFit="1" customWidth="1"/>
    <col min="11" max="11" width="11.44140625" bestFit="1" customWidth="1"/>
  </cols>
  <sheetData>
    <row r="1" spans="1:9" x14ac:dyDescent="0.25">
      <c r="B1" s="74" t="s">
        <v>100</v>
      </c>
      <c r="C1" s="74" t="s">
        <v>101</v>
      </c>
      <c r="D1" s="74" t="s">
        <v>102</v>
      </c>
      <c r="E1" s="74" t="s">
        <v>103</v>
      </c>
      <c r="G1" s="140"/>
    </row>
    <row r="2" spans="1:9" x14ac:dyDescent="0.25">
      <c r="A2" s="154"/>
      <c r="B2" s="75" t="s">
        <v>104</v>
      </c>
      <c r="C2" s="75" t="s">
        <v>105</v>
      </c>
      <c r="D2" s="75" t="s">
        <v>106</v>
      </c>
      <c r="E2" s="76" t="s">
        <v>107</v>
      </c>
      <c r="F2" s="35" t="s">
        <v>4</v>
      </c>
      <c r="G2" s="141"/>
      <c r="H2" s="77" t="s">
        <v>140</v>
      </c>
      <c r="I2" s="15"/>
    </row>
    <row r="3" spans="1:9" x14ac:dyDescent="0.25">
      <c r="A3" s="78">
        <v>1960</v>
      </c>
      <c r="B3" s="1">
        <v>6006.4829052109371</v>
      </c>
      <c r="C3" s="1">
        <v>9570.7201564496281</v>
      </c>
      <c r="D3" s="2">
        <v>6200</v>
      </c>
      <c r="E3" s="1">
        <v>7651.2089500314014</v>
      </c>
      <c r="F3" s="25">
        <f t="shared" ref="F3:F57" si="0">SUM(B3:E3)</f>
        <v>29428.412011691966</v>
      </c>
      <c r="G3" s="142"/>
      <c r="H3" s="62">
        <v>1089</v>
      </c>
    </row>
    <row r="4" spans="1:9" x14ac:dyDescent="0.25">
      <c r="A4" s="78">
        <v>1961</v>
      </c>
      <c r="B4" s="1">
        <v>5053.3107500347633</v>
      </c>
      <c r="C4" s="1">
        <v>8051.9374413479791</v>
      </c>
      <c r="D4" s="1">
        <v>5216.1167555468355</v>
      </c>
      <c r="E4" s="1">
        <v>6437.0340658823206</v>
      </c>
      <c r="F4" s="25">
        <f t="shared" si="0"/>
        <v>24758.399012811897</v>
      </c>
      <c r="G4" s="142"/>
      <c r="H4" s="62">
        <v>0</v>
      </c>
    </row>
    <row r="5" spans="1:9" x14ac:dyDescent="0.25">
      <c r="A5" s="78">
        <v>1962</v>
      </c>
      <c r="B5" s="1">
        <v>2029.3975745576361</v>
      </c>
      <c r="C5" s="1">
        <v>3233.6389197012049</v>
      </c>
      <c r="D5" s="1">
        <v>2094.7800789672906</v>
      </c>
      <c r="E5" s="1">
        <v>2585.0975659664823</v>
      </c>
      <c r="F5" s="25">
        <f t="shared" si="0"/>
        <v>9942.9141391926132</v>
      </c>
      <c r="G5" s="142"/>
      <c r="H5" s="62">
        <v>6093</v>
      </c>
    </row>
    <row r="6" spans="1:9" x14ac:dyDescent="0.25">
      <c r="A6" s="78">
        <v>1963</v>
      </c>
      <c r="B6" s="2">
        <v>300</v>
      </c>
      <c r="C6" s="2">
        <v>500</v>
      </c>
      <c r="D6" s="2">
        <v>1200</v>
      </c>
      <c r="E6" s="1">
        <v>641.40342778034585</v>
      </c>
      <c r="F6" s="25">
        <f t="shared" si="0"/>
        <v>2641.4034277803457</v>
      </c>
      <c r="G6" s="142"/>
      <c r="H6" s="62">
        <v>0</v>
      </c>
    </row>
    <row r="7" spans="1:9" x14ac:dyDescent="0.25">
      <c r="A7" s="78">
        <v>1964</v>
      </c>
      <c r="B7" s="1">
        <v>746.61655043529629</v>
      </c>
      <c r="C7" s="1">
        <v>1189.6576470479088</v>
      </c>
      <c r="D7" s="1">
        <v>770.67080985531891</v>
      </c>
      <c r="E7" s="1">
        <v>951.0588936895515</v>
      </c>
      <c r="F7" s="25">
        <f t="shared" si="0"/>
        <v>3658.0039010280757</v>
      </c>
      <c r="G7" s="142"/>
      <c r="H7" s="62">
        <v>0</v>
      </c>
    </row>
    <row r="8" spans="1:9" x14ac:dyDescent="0.25">
      <c r="A8" s="78">
        <v>1965</v>
      </c>
      <c r="B8" s="2">
        <v>500</v>
      </c>
      <c r="C8" s="1">
        <v>850.67115159252069</v>
      </c>
      <c r="D8" s="2">
        <v>300</v>
      </c>
      <c r="E8" s="1">
        <v>680.05982500137316</v>
      </c>
      <c r="F8" s="25">
        <f t="shared" si="0"/>
        <v>2330.730976593894</v>
      </c>
      <c r="G8" s="142"/>
      <c r="H8" s="62">
        <v>173</v>
      </c>
    </row>
    <row r="9" spans="1:9" x14ac:dyDescent="0.25">
      <c r="A9" s="78">
        <v>1966</v>
      </c>
      <c r="B9" s="1">
        <v>2026.3749031550849</v>
      </c>
      <c r="C9" s="1">
        <v>3228.8225999059787</v>
      </c>
      <c r="D9" s="1">
        <v>2091.6600240341304</v>
      </c>
      <c r="E9" s="1">
        <v>2581.2472111955553</v>
      </c>
      <c r="F9" s="25">
        <f t="shared" si="0"/>
        <v>9928.1047382907491</v>
      </c>
      <c r="G9" s="142"/>
      <c r="H9" s="62">
        <v>0</v>
      </c>
    </row>
    <row r="10" spans="1:9" x14ac:dyDescent="0.25">
      <c r="A10" s="78">
        <v>1967</v>
      </c>
      <c r="B10" s="1">
        <v>201.7658663767408</v>
      </c>
      <c r="C10" s="2">
        <v>100</v>
      </c>
      <c r="D10" s="2">
        <v>500</v>
      </c>
      <c r="E10" s="1">
        <v>257.01442420438121</v>
      </c>
      <c r="F10" s="25">
        <f t="shared" si="0"/>
        <v>1058.780290581122</v>
      </c>
      <c r="G10" s="142"/>
      <c r="H10" s="62">
        <v>0</v>
      </c>
    </row>
    <row r="11" spans="1:9" x14ac:dyDescent="0.25">
      <c r="A11" s="78">
        <v>1968</v>
      </c>
      <c r="B11" s="2">
        <v>100</v>
      </c>
      <c r="C11" s="2">
        <v>500</v>
      </c>
      <c r="D11" s="2">
        <v>200</v>
      </c>
      <c r="E11" s="2">
        <v>200</v>
      </c>
      <c r="F11" s="25">
        <f t="shared" si="0"/>
        <v>1000</v>
      </c>
      <c r="G11" s="142"/>
      <c r="H11" s="62">
        <v>30</v>
      </c>
    </row>
    <row r="12" spans="1:9" x14ac:dyDescent="0.25">
      <c r="A12" s="78">
        <v>1969</v>
      </c>
      <c r="B12" s="1">
        <v>5408.4402640181124</v>
      </c>
      <c r="C12" s="1">
        <v>8617.8002543985549</v>
      </c>
      <c r="D12" s="1">
        <v>5582.6877220228262</v>
      </c>
      <c r="E12" s="1">
        <v>6889.4069530039078</v>
      </c>
      <c r="F12" s="25">
        <f t="shared" si="0"/>
        <v>26498.335193443403</v>
      </c>
      <c r="G12" s="142"/>
      <c r="H12" s="62">
        <v>0</v>
      </c>
    </row>
    <row r="13" spans="1:9" x14ac:dyDescent="0.25">
      <c r="A13" s="78">
        <v>1970</v>
      </c>
      <c r="B13" s="1">
        <v>2086.639217165693</v>
      </c>
      <c r="C13" s="1">
        <v>3324.8476638437</v>
      </c>
      <c r="D13" s="1">
        <v>2153.8659149687965</v>
      </c>
      <c r="E13" s="1">
        <v>2658.0134066521705</v>
      </c>
      <c r="F13" s="25">
        <f t="shared" si="0"/>
        <v>10223.366202630361</v>
      </c>
      <c r="G13" s="142"/>
      <c r="H13" s="62">
        <v>4080</v>
      </c>
    </row>
    <row r="14" spans="1:9" x14ac:dyDescent="0.25">
      <c r="A14" s="78">
        <v>1971</v>
      </c>
      <c r="B14" s="2">
        <v>300</v>
      </c>
      <c r="C14" s="2">
        <v>4000</v>
      </c>
      <c r="D14" s="2">
        <v>500</v>
      </c>
      <c r="E14" s="2">
        <v>2000</v>
      </c>
      <c r="F14" s="25">
        <f t="shared" si="0"/>
        <v>6800</v>
      </c>
      <c r="G14" s="142"/>
      <c r="H14" s="62">
        <v>0</v>
      </c>
    </row>
    <row r="15" spans="1:9" x14ac:dyDescent="0.25">
      <c r="A15" s="78">
        <v>1972</v>
      </c>
      <c r="B15" s="1">
        <v>392.51857969560672</v>
      </c>
      <c r="C15" s="1">
        <v>625.43849280104837</v>
      </c>
      <c r="D15" s="1">
        <v>405.16462093082345</v>
      </c>
      <c r="E15" s="2">
        <v>500</v>
      </c>
      <c r="F15" s="25">
        <f t="shared" si="0"/>
        <v>1923.1216934274785</v>
      </c>
      <c r="G15" s="142"/>
      <c r="H15" s="62">
        <v>0</v>
      </c>
    </row>
    <row r="16" spans="1:9" x14ac:dyDescent="0.25">
      <c r="A16" s="78">
        <v>1973</v>
      </c>
      <c r="B16" s="1">
        <v>484.39379672124898</v>
      </c>
      <c r="C16" s="1">
        <v>771.83229505069301</v>
      </c>
      <c r="D16" s="2">
        <v>500</v>
      </c>
      <c r="E16" s="1">
        <v>617.03299590380948</v>
      </c>
      <c r="F16" s="25">
        <f t="shared" si="0"/>
        <v>2373.2590876757513</v>
      </c>
      <c r="G16" s="142"/>
      <c r="H16" s="62">
        <v>0</v>
      </c>
    </row>
    <row r="17" spans="1:8" x14ac:dyDescent="0.25">
      <c r="A17" s="78">
        <v>1974</v>
      </c>
      <c r="B17" s="1">
        <v>11775.5574251773</v>
      </c>
      <c r="C17" s="1">
        <v>18763.154853969318</v>
      </c>
      <c r="D17" s="1">
        <v>12154.938650134529</v>
      </c>
      <c r="E17" s="2">
        <v>15000</v>
      </c>
      <c r="F17" s="25">
        <f t="shared" si="0"/>
        <v>57693.650929281146</v>
      </c>
      <c r="G17" s="142"/>
      <c r="H17" s="62">
        <v>16510</v>
      </c>
    </row>
    <row r="18" spans="1:8" x14ac:dyDescent="0.25">
      <c r="A18" s="78">
        <v>1975</v>
      </c>
      <c r="B18" s="1">
        <v>5110.0557140281871</v>
      </c>
      <c r="C18" s="1">
        <v>8142.3547797015599</v>
      </c>
      <c r="D18" s="1">
        <v>5274.6899105822968</v>
      </c>
      <c r="E18" s="1">
        <v>6509.3172237966774</v>
      </c>
      <c r="F18" s="25">
        <f t="shared" si="0"/>
        <v>25036.41762810872</v>
      </c>
      <c r="G18" s="142"/>
      <c r="H18" s="62">
        <v>3</v>
      </c>
    </row>
    <row r="19" spans="1:8" x14ac:dyDescent="0.25">
      <c r="A19" s="78">
        <v>1976</v>
      </c>
      <c r="B19" s="2">
        <v>800</v>
      </c>
      <c r="C19" s="1">
        <v>4547.5989107329051</v>
      </c>
      <c r="D19" s="2">
        <v>5000</v>
      </c>
      <c r="E19" s="1">
        <v>3635.5286250707313</v>
      </c>
      <c r="F19" s="25">
        <f t="shared" si="0"/>
        <v>13983.127535803636</v>
      </c>
      <c r="G19" s="142"/>
      <c r="H19" s="62">
        <v>10312</v>
      </c>
    </row>
    <row r="20" spans="1:8" x14ac:dyDescent="0.25">
      <c r="A20" s="78">
        <v>1977</v>
      </c>
      <c r="B20" s="1">
        <v>17312.304398047636</v>
      </c>
      <c r="C20" s="1">
        <v>27585.398742580986</v>
      </c>
      <c r="D20" s="1">
        <v>17870.066873106141</v>
      </c>
      <c r="E20" s="1">
        <v>22052.847855952888</v>
      </c>
      <c r="F20" s="25">
        <f t="shared" si="0"/>
        <v>84820.61786968766</v>
      </c>
      <c r="G20" s="142"/>
      <c r="H20" s="62">
        <v>115</v>
      </c>
    </row>
    <row r="21" spans="1:8" x14ac:dyDescent="0.25">
      <c r="A21" s="78">
        <v>1978</v>
      </c>
      <c r="B21" s="1">
        <v>7752.0365427197239</v>
      </c>
      <c r="C21" s="1">
        <v>12352.082899147175</v>
      </c>
      <c r="D21" s="1">
        <v>8001.7892612782161</v>
      </c>
      <c r="E21" s="1">
        <v>9874.738712877017</v>
      </c>
      <c r="F21" s="25">
        <f t="shared" si="0"/>
        <v>37980.647416022133</v>
      </c>
      <c r="G21" s="142"/>
      <c r="H21" s="62">
        <v>151</v>
      </c>
    </row>
    <row r="22" spans="1:8" x14ac:dyDescent="0.25">
      <c r="A22" s="78">
        <v>1979</v>
      </c>
      <c r="B22" s="1">
        <v>3925.1858032398509</v>
      </c>
      <c r="C22" s="1">
        <v>6254.3849433749492</v>
      </c>
      <c r="D22" s="1">
        <v>4051.6462112069703</v>
      </c>
      <c r="E22" s="2">
        <v>5000</v>
      </c>
      <c r="F22" s="25">
        <f t="shared" si="0"/>
        <v>19231.216957821769</v>
      </c>
      <c r="G22" s="142"/>
      <c r="H22" s="62">
        <v>0</v>
      </c>
    </row>
    <row r="23" spans="1:8" x14ac:dyDescent="0.25">
      <c r="A23" s="78">
        <v>1980</v>
      </c>
      <c r="B23" s="1">
        <v>5206.6434312373485</v>
      </c>
      <c r="C23" s="2">
        <v>553</v>
      </c>
      <c r="D23" s="2">
        <v>3950</v>
      </c>
      <c r="E23" s="2">
        <v>15800</v>
      </c>
      <c r="F23" s="25">
        <f t="shared" si="0"/>
        <v>25509.643431237349</v>
      </c>
      <c r="G23" s="142"/>
      <c r="H23" s="62">
        <v>13077</v>
      </c>
    </row>
    <row r="24" spans="1:8" x14ac:dyDescent="0.25">
      <c r="A24" s="78">
        <v>1981</v>
      </c>
      <c r="B24" s="1">
        <v>7801.5735400318845</v>
      </c>
      <c r="C24" s="1">
        <v>12431.015080965037</v>
      </c>
      <c r="D24" s="2">
        <v>6320</v>
      </c>
      <c r="E24" s="2">
        <v>3950</v>
      </c>
      <c r="F24" s="25">
        <f t="shared" si="0"/>
        <v>30502.588620996921</v>
      </c>
      <c r="G24" s="142"/>
      <c r="H24" s="62">
        <v>233</v>
      </c>
    </row>
    <row r="25" spans="1:8" x14ac:dyDescent="0.25">
      <c r="A25" s="78">
        <v>1982</v>
      </c>
      <c r="B25" s="1">
        <v>6978.0741107038684</v>
      </c>
      <c r="C25" s="1">
        <v>11118.852377805506</v>
      </c>
      <c r="D25" s="2">
        <v>4108</v>
      </c>
      <c r="E25" s="2">
        <v>1580</v>
      </c>
      <c r="F25" s="25">
        <f t="shared" si="0"/>
        <v>23784.926488509373</v>
      </c>
      <c r="G25" s="142"/>
      <c r="H25" s="62">
        <v>20</v>
      </c>
    </row>
    <row r="26" spans="1:8" x14ac:dyDescent="0.25">
      <c r="A26" s="78">
        <v>1983</v>
      </c>
      <c r="B26" s="1">
        <v>10185.387676902166</v>
      </c>
      <c r="C26" s="1">
        <v>16229.380799552613</v>
      </c>
      <c r="D26" s="2">
        <v>6320</v>
      </c>
      <c r="E26" s="2">
        <v>11850</v>
      </c>
      <c r="F26" s="25">
        <f t="shared" si="0"/>
        <v>44584.768476454781</v>
      </c>
      <c r="G26" s="142"/>
      <c r="H26" s="62">
        <v>4422</v>
      </c>
    </row>
    <row r="27" spans="1:8" x14ac:dyDescent="0.25">
      <c r="A27" s="78">
        <v>1984</v>
      </c>
      <c r="B27" s="2">
        <v>5530</v>
      </c>
      <c r="C27" s="2">
        <v>2370</v>
      </c>
      <c r="D27" s="2">
        <v>15800</v>
      </c>
      <c r="E27" s="2">
        <v>31600</v>
      </c>
      <c r="F27" s="25">
        <f t="shared" si="0"/>
        <v>55300</v>
      </c>
      <c r="G27" s="142"/>
      <c r="H27" s="62">
        <v>735</v>
      </c>
    </row>
    <row r="28" spans="1:8" x14ac:dyDescent="0.25">
      <c r="A28" s="78">
        <v>1985</v>
      </c>
      <c r="B28" s="2">
        <v>15800</v>
      </c>
      <c r="C28" s="2">
        <v>12640</v>
      </c>
      <c r="D28" s="2">
        <v>28440</v>
      </c>
      <c r="E28" s="2">
        <v>18170</v>
      </c>
      <c r="F28" s="25">
        <f t="shared" si="0"/>
        <v>75050</v>
      </c>
      <c r="G28" s="142"/>
      <c r="H28" s="62">
        <v>21582</v>
      </c>
    </row>
    <row r="29" spans="1:8" x14ac:dyDescent="0.25">
      <c r="A29" s="78">
        <v>1986</v>
      </c>
      <c r="B29" s="2">
        <v>11850</v>
      </c>
      <c r="C29" s="2">
        <v>1975</v>
      </c>
      <c r="D29" s="2">
        <v>1185</v>
      </c>
      <c r="E29" s="2">
        <v>3160</v>
      </c>
      <c r="F29" s="25">
        <f t="shared" si="0"/>
        <v>18170</v>
      </c>
      <c r="G29" s="142"/>
      <c r="H29" s="62">
        <v>2772</v>
      </c>
    </row>
    <row r="30" spans="1:8" x14ac:dyDescent="0.25">
      <c r="A30" s="78">
        <v>1987</v>
      </c>
      <c r="B30" s="2">
        <v>2370</v>
      </c>
      <c r="C30" s="1">
        <v>5690.4411157272016</v>
      </c>
      <c r="D30" s="2">
        <v>790</v>
      </c>
      <c r="E30" s="2">
        <v>1580</v>
      </c>
      <c r="F30" s="25">
        <f t="shared" si="0"/>
        <v>10430.441115727201</v>
      </c>
      <c r="G30" s="142"/>
      <c r="H30" s="62">
        <v>0</v>
      </c>
    </row>
    <row r="31" spans="1:8" x14ac:dyDescent="0.25">
      <c r="A31" s="78">
        <v>1988</v>
      </c>
      <c r="B31" s="2">
        <v>4345</v>
      </c>
      <c r="C31" s="1">
        <v>3929.1141037067105</v>
      </c>
      <c r="D31" s="2">
        <v>3160</v>
      </c>
      <c r="E31" s="2">
        <v>790</v>
      </c>
      <c r="F31" s="25">
        <f t="shared" si="0"/>
        <v>12224.11410370671</v>
      </c>
      <c r="G31" s="142"/>
      <c r="H31" s="62">
        <v>62</v>
      </c>
    </row>
    <row r="32" spans="1:8" x14ac:dyDescent="0.25">
      <c r="A32" s="78">
        <v>1989</v>
      </c>
      <c r="B32" s="2">
        <v>790</v>
      </c>
      <c r="C32" s="2">
        <v>79</v>
      </c>
      <c r="D32" s="2">
        <v>3950</v>
      </c>
      <c r="E32" s="2">
        <v>12245</v>
      </c>
      <c r="F32" s="25">
        <f t="shared" si="0"/>
        <v>17064</v>
      </c>
      <c r="G32" s="142"/>
      <c r="H32" s="62">
        <v>0</v>
      </c>
    </row>
    <row r="33" spans="1:8" x14ac:dyDescent="0.25">
      <c r="A33" s="78">
        <v>1990</v>
      </c>
      <c r="B33" s="2">
        <v>237</v>
      </c>
      <c r="C33" s="1">
        <v>6855.6266774727974</v>
      </c>
      <c r="D33" s="2">
        <v>3160</v>
      </c>
      <c r="E33" s="2">
        <v>11850</v>
      </c>
      <c r="F33" s="25">
        <f t="shared" si="0"/>
        <v>22102.626677472799</v>
      </c>
      <c r="G33" s="142"/>
      <c r="H33" s="62">
        <v>0</v>
      </c>
    </row>
    <row r="34" spans="1:8" x14ac:dyDescent="0.25">
      <c r="A34" s="78">
        <v>1991</v>
      </c>
      <c r="B34" s="1">
        <v>3100.8967806226419</v>
      </c>
      <c r="C34" s="1">
        <v>4940.9640990552489</v>
      </c>
      <c r="D34" s="1">
        <v>3200.8005028260513</v>
      </c>
      <c r="E34" s="2">
        <v>3950</v>
      </c>
      <c r="F34" s="25">
        <f t="shared" si="0"/>
        <v>15192.661382503942</v>
      </c>
      <c r="G34" s="142"/>
      <c r="H34" s="62">
        <v>0</v>
      </c>
    </row>
    <row r="35" spans="1:8" x14ac:dyDescent="0.25">
      <c r="A35" s="78">
        <v>1992</v>
      </c>
      <c r="B35" s="2">
        <v>11850</v>
      </c>
      <c r="C35" s="2">
        <v>125000</v>
      </c>
      <c r="D35" s="2">
        <v>13000</v>
      </c>
      <c r="E35" s="2">
        <v>47400</v>
      </c>
      <c r="F35" s="25">
        <f t="shared" si="0"/>
        <v>197250</v>
      </c>
      <c r="G35" s="142"/>
      <c r="H35" s="62">
        <v>41613</v>
      </c>
    </row>
    <row r="36" spans="1:8" x14ac:dyDescent="0.25">
      <c r="A36" s="78">
        <v>1993</v>
      </c>
      <c r="B36" s="2">
        <v>2500</v>
      </c>
      <c r="C36" s="2">
        <v>1580</v>
      </c>
      <c r="D36" s="2">
        <v>2000</v>
      </c>
      <c r="E36" s="2">
        <v>2370</v>
      </c>
      <c r="F36" s="25">
        <f t="shared" si="0"/>
        <v>8450</v>
      </c>
      <c r="G36" s="142"/>
      <c r="H36" s="62">
        <v>0</v>
      </c>
    </row>
    <row r="37" spans="1:8" x14ac:dyDescent="0.25">
      <c r="A37" s="78">
        <v>1994</v>
      </c>
      <c r="B37" s="2">
        <v>50000</v>
      </c>
      <c r="C37" s="2">
        <v>45000</v>
      </c>
      <c r="D37" s="2">
        <v>60000</v>
      </c>
      <c r="E37" s="2">
        <v>47400</v>
      </c>
      <c r="F37" s="25">
        <f t="shared" si="0"/>
        <v>202400</v>
      </c>
      <c r="G37" s="142"/>
      <c r="H37" s="62">
        <v>31515</v>
      </c>
    </row>
    <row r="38" spans="1:8" x14ac:dyDescent="0.25">
      <c r="A38" s="78">
        <v>1995</v>
      </c>
      <c r="B38" s="2">
        <v>25000</v>
      </c>
      <c r="C38" s="2">
        <v>30000</v>
      </c>
      <c r="D38" s="2">
        <v>20000</v>
      </c>
      <c r="E38" s="2">
        <v>15000</v>
      </c>
      <c r="F38" s="25">
        <f t="shared" si="0"/>
        <v>90000</v>
      </c>
      <c r="G38" s="142"/>
      <c r="H38" s="62">
        <v>0</v>
      </c>
    </row>
    <row r="39" spans="1:8" x14ac:dyDescent="0.25">
      <c r="A39" s="78">
        <v>1996</v>
      </c>
      <c r="B39" s="2">
        <v>46000</v>
      </c>
      <c r="C39" s="2">
        <v>47000</v>
      </c>
      <c r="D39" s="2">
        <v>25000</v>
      </c>
      <c r="E39" s="2">
        <v>25000</v>
      </c>
      <c r="F39" s="25">
        <f t="shared" si="0"/>
        <v>143000</v>
      </c>
      <c r="G39" s="142"/>
      <c r="H39" s="62">
        <v>5413</v>
      </c>
    </row>
    <row r="40" spans="1:8" x14ac:dyDescent="0.25">
      <c r="A40" s="78">
        <v>1997</v>
      </c>
      <c r="B40" s="2">
        <v>16000</v>
      </c>
      <c r="C40" s="2">
        <v>25000</v>
      </c>
      <c r="D40" s="2">
        <v>27000</v>
      </c>
      <c r="E40" s="2">
        <v>29000</v>
      </c>
      <c r="F40" s="25">
        <f t="shared" si="0"/>
        <v>97000</v>
      </c>
      <c r="G40" s="142"/>
      <c r="H40" s="62">
        <v>0</v>
      </c>
    </row>
    <row r="41" spans="1:8" x14ac:dyDescent="0.25">
      <c r="A41" s="78">
        <v>1998</v>
      </c>
      <c r="B41" s="3">
        <v>143000</v>
      </c>
      <c r="C41" s="3">
        <v>62000</v>
      </c>
      <c r="D41" s="3">
        <v>122000</v>
      </c>
      <c r="E41" s="3">
        <v>50000</v>
      </c>
      <c r="F41" s="25">
        <f t="shared" si="0"/>
        <v>377000</v>
      </c>
      <c r="G41" s="142"/>
      <c r="H41" s="62">
        <v>125465</v>
      </c>
    </row>
    <row r="42" spans="1:8" x14ac:dyDescent="0.25">
      <c r="A42" s="78">
        <v>1999</v>
      </c>
      <c r="B42" s="3">
        <v>66000</v>
      </c>
      <c r="C42" s="3">
        <v>23000</v>
      </c>
      <c r="D42" s="3">
        <v>70000</v>
      </c>
      <c r="E42" s="3">
        <v>6500</v>
      </c>
      <c r="F42" s="25">
        <f t="shared" si="0"/>
        <v>165500</v>
      </c>
      <c r="G42" s="142"/>
      <c r="H42" s="62">
        <v>0</v>
      </c>
    </row>
    <row r="43" spans="1:8" x14ac:dyDescent="0.25">
      <c r="A43" s="78">
        <v>2000</v>
      </c>
      <c r="B43" s="3">
        <v>36000</v>
      </c>
      <c r="C43" s="3">
        <v>26000</v>
      </c>
      <c r="D43" s="3">
        <v>27000</v>
      </c>
      <c r="E43" s="1">
        <v>23881.781044830968</v>
      </c>
      <c r="F43" s="25">
        <f t="shared" si="0"/>
        <v>112881.78104483098</v>
      </c>
      <c r="G43" s="142"/>
      <c r="H43" s="62">
        <v>68645</v>
      </c>
    </row>
    <row r="44" spans="1:8" x14ac:dyDescent="0.25">
      <c r="A44" s="78">
        <v>2001</v>
      </c>
      <c r="B44" s="3">
        <v>26000</v>
      </c>
      <c r="C44" s="3">
        <v>37000</v>
      </c>
      <c r="D44" s="3">
        <v>11000</v>
      </c>
      <c r="E44" s="1">
        <v>32976.208834538425</v>
      </c>
      <c r="F44" s="25">
        <f t="shared" si="0"/>
        <v>106976.20883453843</v>
      </c>
      <c r="G44" s="142"/>
      <c r="H44" s="62">
        <v>303</v>
      </c>
    </row>
    <row r="45" spans="1:8" x14ac:dyDescent="0.25">
      <c r="A45" s="78">
        <v>2002</v>
      </c>
      <c r="B45" s="5">
        <v>140360</v>
      </c>
      <c r="C45" s="5">
        <v>52030</v>
      </c>
      <c r="D45" s="5">
        <v>59290</v>
      </c>
      <c r="E45" s="4">
        <v>71686.376930625658</v>
      </c>
      <c r="F45" s="25">
        <f t="shared" si="0"/>
        <v>323366.37693062564</v>
      </c>
      <c r="G45" s="142"/>
      <c r="H45" s="62">
        <v>85080</v>
      </c>
    </row>
    <row r="46" spans="1:8" x14ac:dyDescent="0.25">
      <c r="A46" s="78">
        <v>2003</v>
      </c>
      <c r="B46" s="5">
        <v>38000</v>
      </c>
      <c r="C46" s="5">
        <v>60000</v>
      </c>
      <c r="D46" s="5">
        <v>73710</v>
      </c>
      <c r="E46" s="5">
        <v>40950</v>
      </c>
      <c r="F46" s="25">
        <f t="shared" si="0"/>
        <v>212660</v>
      </c>
      <c r="G46" s="142"/>
      <c r="H46" s="62">
        <v>2474</v>
      </c>
    </row>
    <row r="47" spans="1:8" x14ac:dyDescent="0.25">
      <c r="A47" s="78">
        <v>2004</v>
      </c>
      <c r="B47" s="13">
        <v>100000</v>
      </c>
      <c r="C47" s="5">
        <v>60000</v>
      </c>
      <c r="D47" s="5">
        <v>113000</v>
      </c>
      <c r="E47" s="5">
        <v>12800</v>
      </c>
      <c r="F47" s="25">
        <f t="shared" si="0"/>
        <v>285800</v>
      </c>
      <c r="G47" s="142"/>
      <c r="H47" s="62">
        <v>8121</v>
      </c>
    </row>
    <row r="48" spans="1:8" x14ac:dyDescent="0.25">
      <c r="A48" s="78">
        <v>2005</v>
      </c>
      <c r="B48" s="5">
        <v>44000</v>
      </c>
      <c r="C48" s="5">
        <v>30000</v>
      </c>
      <c r="D48" s="5">
        <v>199000</v>
      </c>
      <c r="E48" s="4">
        <v>69587.850647535466</v>
      </c>
      <c r="F48" s="25">
        <f t="shared" si="0"/>
        <v>342587.85064753547</v>
      </c>
      <c r="G48" s="142"/>
      <c r="H48" s="62">
        <v>11770</v>
      </c>
    </row>
    <row r="49" spans="1:11" x14ac:dyDescent="0.25">
      <c r="A49" s="78">
        <v>2006</v>
      </c>
      <c r="B49" s="11">
        <v>23000</v>
      </c>
      <c r="C49" s="11">
        <v>26000</v>
      </c>
      <c r="D49" s="11">
        <v>36000</v>
      </c>
      <c r="E49" s="11">
        <v>16000</v>
      </c>
      <c r="F49" s="25">
        <f t="shared" si="0"/>
        <v>101000</v>
      </c>
      <c r="G49" s="142"/>
      <c r="H49" s="62">
        <v>836</v>
      </c>
    </row>
    <row r="50" spans="1:11" x14ac:dyDescent="0.25">
      <c r="A50" s="78">
        <v>2007</v>
      </c>
      <c r="B50" s="11">
        <v>48000</v>
      </c>
      <c r="C50" s="11">
        <v>50000</v>
      </c>
      <c r="D50" s="11">
        <v>55000</v>
      </c>
      <c r="E50" s="11">
        <v>17000</v>
      </c>
      <c r="F50" s="25">
        <f t="shared" si="0"/>
        <v>170000</v>
      </c>
      <c r="G50" s="142"/>
      <c r="H50" s="62">
        <v>499</v>
      </c>
    </row>
    <row r="51" spans="1:11" x14ac:dyDescent="0.25">
      <c r="A51" s="78">
        <v>2008</v>
      </c>
      <c r="B51" s="11">
        <v>13000</v>
      </c>
      <c r="C51" s="11">
        <v>10000</v>
      </c>
      <c r="D51" s="11">
        <v>11000</v>
      </c>
      <c r="E51" s="42">
        <v>26988</v>
      </c>
      <c r="F51" s="25">
        <f t="shared" si="0"/>
        <v>60988</v>
      </c>
      <c r="G51" s="142"/>
      <c r="H51" s="62">
        <v>0</v>
      </c>
    </row>
    <row r="52" spans="1:11" x14ac:dyDescent="0.25">
      <c r="A52" s="78">
        <v>2009</v>
      </c>
      <c r="B52" s="11">
        <v>11000</v>
      </c>
      <c r="C52" s="11">
        <v>16000</v>
      </c>
      <c r="D52" s="11">
        <v>17000</v>
      </c>
      <c r="E52" s="42">
        <v>8000</v>
      </c>
      <c r="F52" s="25">
        <f t="shared" si="0"/>
        <v>52000</v>
      </c>
      <c r="G52" s="142"/>
      <c r="H52" s="63">
        <v>0</v>
      </c>
    </row>
    <row r="53" spans="1:11" x14ac:dyDescent="0.25">
      <c r="A53" s="78">
        <v>2010</v>
      </c>
      <c r="B53" s="11">
        <v>10000</v>
      </c>
      <c r="C53" s="11">
        <v>22000</v>
      </c>
      <c r="D53" s="11">
        <v>7000</v>
      </c>
      <c r="E53" s="42">
        <v>5000</v>
      </c>
      <c r="F53" s="25">
        <f t="shared" si="0"/>
        <v>44000</v>
      </c>
      <c r="G53" s="142"/>
      <c r="H53" s="63">
        <v>0</v>
      </c>
    </row>
    <row r="54" spans="1:11" x14ac:dyDescent="0.25">
      <c r="A54" s="78">
        <v>2011</v>
      </c>
      <c r="B54" s="11">
        <v>29000</v>
      </c>
      <c r="C54" s="11">
        <v>67000</v>
      </c>
      <c r="D54" s="11">
        <v>16000</v>
      </c>
      <c r="E54" s="42">
        <v>5000</v>
      </c>
      <c r="F54" s="25">
        <f t="shared" si="0"/>
        <v>117000</v>
      </c>
      <c r="G54" s="142"/>
      <c r="H54" s="63">
        <v>0</v>
      </c>
    </row>
    <row r="55" spans="1:11" x14ac:dyDescent="0.25">
      <c r="A55" s="78">
        <v>2012</v>
      </c>
      <c r="B55" s="11">
        <v>12000</v>
      </c>
      <c r="C55" s="11">
        <v>35000</v>
      </c>
      <c r="D55" s="11">
        <v>20000</v>
      </c>
      <c r="E55" s="42">
        <v>17179</v>
      </c>
      <c r="F55" s="25">
        <f t="shared" si="0"/>
        <v>84179</v>
      </c>
      <c r="G55" s="142"/>
      <c r="H55" s="63">
        <v>0</v>
      </c>
    </row>
    <row r="56" spans="1:11" x14ac:dyDescent="0.25">
      <c r="A56" s="78">
        <v>2013</v>
      </c>
      <c r="B56" s="11">
        <v>102000</v>
      </c>
      <c r="C56" s="11">
        <v>115000</v>
      </c>
      <c r="D56" s="11">
        <v>160000</v>
      </c>
      <c r="E56" s="11">
        <v>110000</v>
      </c>
      <c r="F56" s="25">
        <f t="shared" si="0"/>
        <v>487000</v>
      </c>
      <c r="G56" s="142"/>
      <c r="H56" s="63">
        <v>101912</v>
      </c>
    </row>
    <row r="57" spans="1:11" x14ac:dyDescent="0.25">
      <c r="A57" s="78">
        <v>2014</v>
      </c>
      <c r="B57" s="11">
        <v>48000</v>
      </c>
      <c r="C57" s="11">
        <v>85000</v>
      </c>
      <c r="D57" s="11">
        <v>60000</v>
      </c>
      <c r="E57" s="11">
        <v>50000</v>
      </c>
      <c r="F57" s="25">
        <f t="shared" si="0"/>
        <v>243000</v>
      </c>
      <c r="G57" s="142"/>
      <c r="H57" s="63">
        <v>0</v>
      </c>
    </row>
    <row r="58" spans="1:11" x14ac:dyDescent="0.25">
      <c r="A58" s="78">
        <v>2015</v>
      </c>
      <c r="B58" s="11">
        <v>48000</v>
      </c>
      <c r="C58" s="11">
        <v>56000</v>
      </c>
      <c r="D58" s="11">
        <v>78000</v>
      </c>
      <c r="E58" s="11">
        <v>25000</v>
      </c>
      <c r="F58" s="25">
        <f t="shared" ref="F58:F67" si="1">SUM(B58:E58)</f>
        <v>207000</v>
      </c>
      <c r="G58" s="142"/>
      <c r="H58" s="63">
        <v>43880</v>
      </c>
    </row>
    <row r="59" spans="1:11" x14ac:dyDescent="0.25">
      <c r="A59" s="78">
        <v>2016</v>
      </c>
      <c r="B59" s="11">
        <v>5000</v>
      </c>
      <c r="C59" s="11">
        <v>22000</v>
      </c>
      <c r="D59" s="11">
        <v>25000</v>
      </c>
      <c r="E59" s="11">
        <v>8000</v>
      </c>
      <c r="F59" s="25">
        <f t="shared" si="1"/>
        <v>60000</v>
      </c>
      <c r="G59" s="142"/>
      <c r="H59" s="63">
        <v>0</v>
      </c>
    </row>
    <row r="60" spans="1:11" ht="13.8" thickBot="1" x14ac:dyDescent="0.3">
      <c r="A60" s="78">
        <v>2017</v>
      </c>
      <c r="B60" s="11">
        <v>25000</v>
      </c>
      <c r="C60" s="11">
        <v>33000</v>
      </c>
      <c r="D60" s="108">
        <v>25000</v>
      </c>
      <c r="E60" s="11">
        <v>10000</v>
      </c>
      <c r="F60" s="25">
        <f t="shared" si="1"/>
        <v>93000</v>
      </c>
      <c r="G60" s="142"/>
      <c r="H60" s="63">
        <v>0</v>
      </c>
      <c r="I60" s="33">
        <f>F60+H60</f>
        <v>93000</v>
      </c>
    </row>
    <row r="61" spans="1:11" x14ac:dyDescent="0.25">
      <c r="A61" s="78">
        <v>2018</v>
      </c>
      <c r="B61" s="11">
        <v>16000</v>
      </c>
      <c r="C61" s="11">
        <v>11400</v>
      </c>
      <c r="D61" s="11">
        <v>46500</v>
      </c>
      <c r="E61" s="11">
        <v>30500</v>
      </c>
      <c r="F61" s="161">
        <f t="shared" si="1"/>
        <v>104400</v>
      </c>
      <c r="G61" s="142"/>
      <c r="H61" s="166">
        <v>5116</v>
      </c>
      <c r="I61" s="33">
        <f t="shared" ref="I61:I66" si="2">F61+H61</f>
        <v>109516</v>
      </c>
      <c r="J61" s="138" t="s">
        <v>289</v>
      </c>
      <c r="K61" s="139"/>
    </row>
    <row r="62" spans="1:11" x14ac:dyDescent="0.25">
      <c r="A62" s="78">
        <v>2019</v>
      </c>
      <c r="B62" s="11">
        <v>20000</v>
      </c>
      <c r="C62" s="11">
        <v>24000</v>
      </c>
      <c r="D62" s="11">
        <v>88000</v>
      </c>
      <c r="E62" s="11">
        <v>10500</v>
      </c>
      <c r="F62" s="161">
        <f t="shared" si="1"/>
        <v>142500</v>
      </c>
      <c r="G62" s="173"/>
      <c r="H62" s="147">
        <v>36708</v>
      </c>
      <c r="I62" s="33">
        <f t="shared" si="2"/>
        <v>179208</v>
      </c>
      <c r="J62" s="171"/>
      <c r="K62" s="172"/>
    </row>
    <row r="63" spans="1:11" x14ac:dyDescent="0.25">
      <c r="A63" s="78">
        <v>2020</v>
      </c>
      <c r="B63" s="11">
        <v>50000</v>
      </c>
      <c r="C63" s="11">
        <v>16000</v>
      </c>
      <c r="D63" s="11">
        <v>12000</v>
      </c>
      <c r="E63" s="11">
        <v>10000</v>
      </c>
      <c r="F63" s="161">
        <f t="shared" si="1"/>
        <v>88000</v>
      </c>
      <c r="G63" s="142"/>
      <c r="H63" s="147">
        <v>890</v>
      </c>
      <c r="I63" s="33">
        <f t="shared" si="2"/>
        <v>88890</v>
      </c>
      <c r="J63" s="171"/>
      <c r="K63" s="172"/>
    </row>
    <row r="64" spans="1:11" x14ac:dyDescent="0.25">
      <c r="A64" s="78">
        <v>2021</v>
      </c>
      <c r="B64" s="11">
        <v>20000</v>
      </c>
      <c r="C64" s="11">
        <v>13000</v>
      </c>
      <c r="D64" s="11">
        <v>8000</v>
      </c>
      <c r="E64" s="11">
        <v>1000</v>
      </c>
      <c r="F64" s="161">
        <f t="shared" si="1"/>
        <v>42000</v>
      </c>
      <c r="G64" s="142"/>
      <c r="H64" s="147">
        <v>0</v>
      </c>
      <c r="I64" s="33">
        <f t="shared" si="2"/>
        <v>42000</v>
      </c>
      <c r="J64" s="171"/>
      <c r="K64" s="172"/>
    </row>
    <row r="65" spans="1:11" x14ac:dyDescent="0.25">
      <c r="A65" s="78">
        <v>2022</v>
      </c>
      <c r="B65" s="11">
        <v>13000</v>
      </c>
      <c r="C65" s="11">
        <v>9000</v>
      </c>
      <c r="D65" s="11">
        <v>3000</v>
      </c>
      <c r="E65" s="11">
        <v>4000</v>
      </c>
      <c r="F65" s="161">
        <f t="shared" si="1"/>
        <v>29000</v>
      </c>
      <c r="G65" s="142"/>
      <c r="H65" s="147">
        <v>0</v>
      </c>
      <c r="I65" s="33">
        <f t="shared" si="2"/>
        <v>29000</v>
      </c>
      <c r="J65" s="171"/>
      <c r="K65" s="172"/>
    </row>
    <row r="66" spans="1:11" x14ac:dyDescent="0.25">
      <c r="A66" s="78">
        <v>2023</v>
      </c>
      <c r="B66" s="11">
        <v>19000</v>
      </c>
      <c r="C66" s="11">
        <v>20000</v>
      </c>
      <c r="D66" s="11">
        <v>18000</v>
      </c>
      <c r="E66" s="11">
        <v>14000</v>
      </c>
      <c r="F66" s="161">
        <f t="shared" si="1"/>
        <v>71000</v>
      </c>
      <c r="G66" s="142"/>
      <c r="H66" s="147">
        <v>0</v>
      </c>
      <c r="I66" s="33">
        <f t="shared" si="2"/>
        <v>71000</v>
      </c>
      <c r="J66" s="171"/>
      <c r="K66" s="172"/>
    </row>
    <row r="67" spans="1:11" x14ac:dyDescent="0.25">
      <c r="A67" s="78">
        <v>2024</v>
      </c>
      <c r="B67" s="108">
        <v>60000</v>
      </c>
      <c r="C67" s="108">
        <v>36000</v>
      </c>
      <c r="D67" s="108">
        <v>30000</v>
      </c>
      <c r="E67" s="108">
        <v>20000</v>
      </c>
      <c r="F67" s="161">
        <f t="shared" si="1"/>
        <v>146000</v>
      </c>
      <c r="G67" s="142"/>
      <c r="H67" s="147"/>
      <c r="I67" s="33"/>
      <c r="J67" s="171"/>
      <c r="K67" s="172"/>
    </row>
    <row r="68" spans="1:11" ht="14.4" thickBot="1" x14ac:dyDescent="0.3">
      <c r="A68" s="155" t="s">
        <v>108</v>
      </c>
      <c r="B68" s="128">
        <f>AVERAGE(B3:B67)</f>
        <v>22511.010089693562</v>
      </c>
      <c r="C68" s="128">
        <f>AVERAGE(C3:C67)</f>
        <v>22938.965169322018</v>
      </c>
      <c r="D68" s="128">
        <f>AVERAGE(D3:D67)</f>
        <v>26122.336574391695</v>
      </c>
      <c r="E68" s="128">
        <f>AVERAGE(E3:E67)</f>
        <v>16553.31119376214</v>
      </c>
      <c r="F68" s="128">
        <f>AVERAGE(F3:F61)</f>
        <v>88299.415199423936</v>
      </c>
      <c r="G68" s="135"/>
      <c r="H68" s="128">
        <f>AVERAGE(H3:H63)</f>
        <v>10683.590163934427</v>
      </c>
      <c r="J68" s="52">
        <v>50000</v>
      </c>
      <c r="K68" s="53">
        <v>120000</v>
      </c>
    </row>
    <row r="69" spans="1:11" ht="14.4" thickBot="1" x14ac:dyDescent="0.3">
      <c r="A69" s="156" t="s">
        <v>360</v>
      </c>
      <c r="B69" s="92">
        <f>AVERAGE(B57:B66)</f>
        <v>26400</v>
      </c>
      <c r="C69" s="92">
        <f t="shared" ref="C69:H69" si="3">AVERAGE(C57:C66)</f>
        <v>28940</v>
      </c>
      <c r="D69" s="92">
        <f t="shared" si="3"/>
        <v>36350</v>
      </c>
      <c r="E69" s="92">
        <f t="shared" si="3"/>
        <v>16300</v>
      </c>
      <c r="F69" s="92">
        <f t="shared" si="3"/>
        <v>107990</v>
      </c>
      <c r="G69" s="92"/>
      <c r="H69" s="92">
        <f t="shared" si="3"/>
        <v>8659.4</v>
      </c>
      <c r="J69" s="175">
        <v>40000</v>
      </c>
      <c r="K69" s="176">
        <v>150000</v>
      </c>
    </row>
    <row r="70" spans="1:11" ht="13.8" x14ac:dyDescent="0.25">
      <c r="A70" s="156" t="s">
        <v>361</v>
      </c>
      <c r="B70" s="96">
        <f>RANK(B67,B3:B67)</f>
        <v>6</v>
      </c>
      <c r="C70" s="96">
        <f t="shared" ref="C70:H70" si="4">RANK(C67,C3:C67)</f>
        <v>14</v>
      </c>
      <c r="D70" s="96">
        <f t="shared" si="4"/>
        <v>15</v>
      </c>
      <c r="E70" s="96">
        <f t="shared" si="4"/>
        <v>18</v>
      </c>
      <c r="F70" s="96">
        <f t="shared" si="4"/>
        <v>13</v>
      </c>
      <c r="G70" s="96"/>
      <c r="H70" s="96">
        <f t="shared" si="4"/>
        <v>36</v>
      </c>
    </row>
    <row r="71" spans="1:11" ht="13.8" x14ac:dyDescent="0.25">
      <c r="A71" s="157" t="s">
        <v>362</v>
      </c>
      <c r="B71" s="129">
        <f>B67/B69</f>
        <v>2.2727272727272729</v>
      </c>
      <c r="C71" s="129">
        <f t="shared" ref="C71:H71" si="5">C67/C69</f>
        <v>1.243953006219765</v>
      </c>
      <c r="D71" s="129">
        <f t="shared" si="5"/>
        <v>0.82530949105914719</v>
      </c>
      <c r="E71" s="129">
        <f t="shared" si="5"/>
        <v>1.2269938650306749</v>
      </c>
      <c r="F71" s="129">
        <f t="shared" si="5"/>
        <v>1.3519770349106399</v>
      </c>
      <c r="G71" s="129"/>
      <c r="H71" s="129">
        <f t="shared" si="5"/>
        <v>0</v>
      </c>
    </row>
    <row r="73" spans="1:11" x14ac:dyDescent="0.25">
      <c r="H73" s="167"/>
      <c r="I73" s="96" t="s">
        <v>347</v>
      </c>
    </row>
    <row r="74" spans="1:11" ht="13.8" x14ac:dyDescent="0.25">
      <c r="A74" s="158" t="s">
        <v>344</v>
      </c>
      <c r="H74" s="174" t="s">
        <v>354</v>
      </c>
      <c r="I74"/>
    </row>
    <row r="75" spans="1:11" ht="13.8" x14ac:dyDescent="0.25">
      <c r="A75" s="159" t="s">
        <v>345</v>
      </c>
    </row>
    <row r="76" spans="1:11" ht="13.8" x14ac:dyDescent="0.25">
      <c r="A76" s="160" t="s">
        <v>346</v>
      </c>
    </row>
    <row r="77" spans="1:11" x14ac:dyDescent="0.25">
      <c r="A77" s="179" t="s">
        <v>355</v>
      </c>
    </row>
  </sheetData>
  <phoneticPr fontId="10" type="noConversion"/>
  <pageMargins left="0.75" right="0.75" top="1" bottom="1" header="0.5" footer="0.5"/>
  <pageSetup scale="6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92D050"/>
    <pageSetUpPr fitToPage="1"/>
  </sheetPr>
  <dimension ref="A1:I77"/>
  <sheetViews>
    <sheetView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G67" sqref="G67"/>
    </sheetView>
  </sheetViews>
  <sheetFormatPr defaultRowHeight="13.2" x14ac:dyDescent="0.25"/>
  <cols>
    <col min="1" max="1" width="22.5546875" style="24" bestFit="1" customWidth="1"/>
    <col min="2" max="2" width="15.109375" bestFit="1" customWidth="1"/>
    <col min="3" max="3" width="14.44140625" bestFit="1" customWidth="1"/>
    <col min="4" max="4" width="8.6640625" bestFit="1" customWidth="1"/>
    <col min="5" max="5" width="1.88671875" customWidth="1"/>
    <col min="6" max="6" width="8.6640625" style="14" bestFit="1" customWidth="1"/>
    <col min="7" max="7" width="11.44140625" style="14" customWidth="1"/>
    <col min="8" max="8" width="10.5546875" bestFit="1" customWidth="1"/>
    <col min="9" max="9" width="11.44140625" bestFit="1" customWidth="1"/>
  </cols>
  <sheetData>
    <row r="1" spans="1:9" s="14" customFormat="1" x14ac:dyDescent="0.25">
      <c r="A1" s="119" t="s">
        <v>153</v>
      </c>
      <c r="B1" s="78" t="s">
        <v>154</v>
      </c>
      <c r="C1" s="78" t="s">
        <v>155</v>
      </c>
      <c r="I1" s="15"/>
    </row>
    <row r="2" spans="1:9" s="14" customFormat="1" x14ac:dyDescent="0.25">
      <c r="A2" s="119"/>
      <c r="B2" s="78" t="s">
        <v>356</v>
      </c>
      <c r="C2" s="78" t="s">
        <v>156</v>
      </c>
      <c r="D2" s="14" t="s">
        <v>4</v>
      </c>
      <c r="F2" s="14" t="s">
        <v>140</v>
      </c>
    </row>
    <row r="3" spans="1:9" x14ac:dyDescent="0.25">
      <c r="A3" s="26">
        <v>1960</v>
      </c>
      <c r="B3" s="2">
        <v>250</v>
      </c>
      <c r="C3" s="2">
        <v>3278</v>
      </c>
      <c r="D3" s="2">
        <f>SUM(B3:C3)</f>
        <v>3528</v>
      </c>
      <c r="E3" s="136"/>
      <c r="F3" s="62">
        <v>0</v>
      </c>
      <c r="G3" s="62"/>
    </row>
    <row r="4" spans="1:9" x14ac:dyDescent="0.25">
      <c r="A4" s="26">
        <v>1961</v>
      </c>
      <c r="B4" s="2">
        <v>5093</v>
      </c>
      <c r="C4" s="2">
        <v>20</v>
      </c>
      <c r="D4" s="2">
        <f t="shared" ref="D4:D57" si="0">SUM(B4:C4)</f>
        <v>5113</v>
      </c>
      <c r="E4" s="136"/>
      <c r="F4" s="62">
        <v>0</v>
      </c>
      <c r="G4" s="62"/>
    </row>
    <row r="5" spans="1:9" x14ac:dyDescent="0.25">
      <c r="A5" s="26">
        <v>1962</v>
      </c>
      <c r="B5" s="2">
        <v>50</v>
      </c>
      <c r="C5" s="2">
        <v>3187</v>
      </c>
      <c r="D5" s="2">
        <f t="shared" si="0"/>
        <v>3237</v>
      </c>
      <c r="E5" s="136"/>
      <c r="F5" s="62">
        <v>0</v>
      </c>
      <c r="G5" s="62"/>
    </row>
    <row r="6" spans="1:9" x14ac:dyDescent="0.25">
      <c r="A6" s="26">
        <v>1963</v>
      </c>
      <c r="B6" s="2">
        <v>200</v>
      </c>
      <c r="C6" s="2">
        <v>500</v>
      </c>
      <c r="D6" s="2">
        <f t="shared" si="0"/>
        <v>700</v>
      </c>
      <c r="E6" s="136"/>
      <c r="F6" s="62">
        <v>0</v>
      </c>
      <c r="G6" s="62"/>
    </row>
    <row r="7" spans="1:9" x14ac:dyDescent="0.25">
      <c r="A7" s="26">
        <v>1964</v>
      </c>
      <c r="B7" s="2">
        <v>100</v>
      </c>
      <c r="C7" s="2">
        <v>1000</v>
      </c>
      <c r="D7" s="2">
        <f t="shared" si="0"/>
        <v>1100</v>
      </c>
      <c r="E7" s="136"/>
      <c r="F7" s="62">
        <v>0</v>
      </c>
      <c r="G7" s="62"/>
    </row>
    <row r="8" spans="1:9" x14ac:dyDescent="0.25">
      <c r="A8" s="26">
        <v>1965</v>
      </c>
      <c r="B8" s="2">
        <v>5519</v>
      </c>
      <c r="C8" s="2">
        <v>9031</v>
      </c>
      <c r="D8" s="2">
        <f t="shared" si="0"/>
        <v>14550</v>
      </c>
      <c r="E8" s="136"/>
      <c r="F8" s="62">
        <v>0</v>
      </c>
      <c r="G8" s="62"/>
    </row>
    <row r="9" spans="1:9" x14ac:dyDescent="0.25">
      <c r="A9" s="26">
        <v>1966</v>
      </c>
      <c r="B9" s="2">
        <v>757</v>
      </c>
      <c r="C9" s="2">
        <v>1238</v>
      </c>
      <c r="D9" s="2">
        <f t="shared" si="0"/>
        <v>1995</v>
      </c>
      <c r="E9" s="136"/>
      <c r="F9" s="62">
        <v>0</v>
      </c>
      <c r="G9" s="62"/>
    </row>
    <row r="10" spans="1:9" x14ac:dyDescent="0.25">
      <c r="A10" s="26">
        <v>1967</v>
      </c>
      <c r="B10" s="2">
        <v>2911</v>
      </c>
      <c r="C10" s="2">
        <v>4762</v>
      </c>
      <c r="D10" s="2">
        <f t="shared" si="0"/>
        <v>7673</v>
      </c>
      <c r="E10" s="136"/>
      <c r="F10" s="62">
        <v>0</v>
      </c>
      <c r="G10" s="62"/>
    </row>
    <row r="11" spans="1:9" x14ac:dyDescent="0.25">
      <c r="A11" s="26">
        <v>1968</v>
      </c>
      <c r="B11" s="2">
        <v>302</v>
      </c>
      <c r="C11" s="2">
        <v>494</v>
      </c>
      <c r="D11" s="2">
        <f t="shared" si="0"/>
        <v>796</v>
      </c>
      <c r="E11" s="136"/>
      <c r="F11" s="62">
        <v>0</v>
      </c>
      <c r="G11" s="62"/>
    </row>
    <row r="12" spans="1:9" x14ac:dyDescent="0.25">
      <c r="A12" s="26">
        <v>1969</v>
      </c>
      <c r="B12" s="2">
        <v>6124</v>
      </c>
      <c r="C12" s="2">
        <v>10020</v>
      </c>
      <c r="D12" s="2">
        <f t="shared" si="0"/>
        <v>16144</v>
      </c>
      <c r="E12" s="136"/>
      <c r="F12" s="62">
        <v>0</v>
      </c>
      <c r="G12" s="62"/>
    </row>
    <row r="13" spans="1:9" x14ac:dyDescent="0.25">
      <c r="A13" s="26">
        <v>1970</v>
      </c>
      <c r="B13" s="2">
        <v>845</v>
      </c>
      <c r="C13" s="2">
        <v>1383</v>
      </c>
      <c r="D13" s="2">
        <f t="shared" si="0"/>
        <v>2228</v>
      </c>
      <c r="E13" s="136"/>
      <c r="F13" s="62">
        <v>0</v>
      </c>
      <c r="G13" s="62"/>
    </row>
    <row r="14" spans="1:9" x14ac:dyDescent="0.25">
      <c r="A14" s="26">
        <v>1971</v>
      </c>
      <c r="B14" s="2">
        <v>300</v>
      </c>
      <c r="C14" s="2">
        <v>200</v>
      </c>
      <c r="D14" s="2">
        <f t="shared" si="0"/>
        <v>500</v>
      </c>
      <c r="E14" s="136"/>
      <c r="F14" s="62">
        <v>0</v>
      </c>
      <c r="G14" s="62"/>
    </row>
    <row r="15" spans="1:9" x14ac:dyDescent="0.25">
      <c r="A15" s="26">
        <v>1972</v>
      </c>
      <c r="B15" s="2">
        <v>1783</v>
      </c>
      <c r="C15" s="2">
        <v>2917</v>
      </c>
      <c r="D15" s="2">
        <f t="shared" si="0"/>
        <v>4700</v>
      </c>
      <c r="E15" s="136"/>
      <c r="F15" s="62">
        <v>0</v>
      </c>
      <c r="G15" s="62"/>
    </row>
    <row r="16" spans="1:9" x14ac:dyDescent="0.25">
      <c r="A16" s="26">
        <v>1973</v>
      </c>
      <c r="B16" s="2">
        <v>5189</v>
      </c>
      <c r="C16" s="2">
        <v>8491</v>
      </c>
      <c r="D16" s="2">
        <f t="shared" si="0"/>
        <v>13680</v>
      </c>
      <c r="E16" s="136"/>
      <c r="F16" s="62">
        <v>0</v>
      </c>
      <c r="G16" s="62"/>
    </row>
    <row r="17" spans="1:7" x14ac:dyDescent="0.25">
      <c r="A17" s="26">
        <v>1974</v>
      </c>
      <c r="B17" s="2">
        <v>2738</v>
      </c>
      <c r="C17" s="2">
        <v>4480</v>
      </c>
      <c r="D17" s="2">
        <f t="shared" si="0"/>
        <v>7218</v>
      </c>
      <c r="E17" s="136"/>
      <c r="F17" s="62">
        <v>0</v>
      </c>
      <c r="G17" s="62"/>
    </row>
    <row r="18" spans="1:7" x14ac:dyDescent="0.25">
      <c r="A18" s="26">
        <v>1975</v>
      </c>
      <c r="B18" s="2">
        <v>7338</v>
      </c>
      <c r="C18" s="2">
        <v>12007</v>
      </c>
      <c r="D18" s="2">
        <f t="shared" si="0"/>
        <v>19345</v>
      </c>
      <c r="E18" s="136"/>
      <c r="F18" s="62">
        <v>0</v>
      </c>
      <c r="G18" s="62"/>
    </row>
    <row r="19" spans="1:7" x14ac:dyDescent="0.25">
      <c r="A19" s="26">
        <v>1976</v>
      </c>
      <c r="B19" s="2">
        <v>3800</v>
      </c>
      <c r="C19" s="2">
        <v>6217</v>
      </c>
      <c r="D19" s="2">
        <f t="shared" si="0"/>
        <v>10017</v>
      </c>
      <c r="E19" s="136"/>
      <c r="F19" s="62">
        <v>0</v>
      </c>
      <c r="G19" s="62"/>
    </row>
    <row r="20" spans="1:7" x14ac:dyDescent="0.25">
      <c r="A20" s="26">
        <v>1977</v>
      </c>
      <c r="B20" s="2">
        <v>24856</v>
      </c>
      <c r="C20" s="2">
        <v>40670</v>
      </c>
      <c r="D20" s="2">
        <f t="shared" si="0"/>
        <v>65526</v>
      </c>
      <c r="E20" s="136"/>
      <c r="F20" s="62">
        <v>0</v>
      </c>
      <c r="G20" s="62"/>
    </row>
    <row r="21" spans="1:7" x14ac:dyDescent="0.25">
      <c r="A21" s="26">
        <v>1978</v>
      </c>
      <c r="B21" s="2">
        <v>4625</v>
      </c>
      <c r="C21" s="2">
        <v>7568</v>
      </c>
      <c r="D21" s="2">
        <f t="shared" si="0"/>
        <v>12193</v>
      </c>
      <c r="E21" s="136"/>
      <c r="F21" s="62">
        <v>0</v>
      </c>
      <c r="G21" s="62"/>
    </row>
    <row r="22" spans="1:7" x14ac:dyDescent="0.25">
      <c r="A22" s="26">
        <v>1979</v>
      </c>
      <c r="B22" s="2">
        <v>23631</v>
      </c>
      <c r="C22" s="2">
        <v>38665</v>
      </c>
      <c r="D22" s="2">
        <f t="shared" si="0"/>
        <v>62296</v>
      </c>
      <c r="E22" s="136"/>
      <c r="F22" s="62">
        <v>0</v>
      </c>
      <c r="G22" s="62"/>
    </row>
    <row r="23" spans="1:7" x14ac:dyDescent="0.25">
      <c r="A23" s="26">
        <v>1980</v>
      </c>
      <c r="B23" s="2">
        <v>3086</v>
      </c>
      <c r="C23" s="2">
        <v>5049</v>
      </c>
      <c r="D23" s="2">
        <f t="shared" si="0"/>
        <v>8135</v>
      </c>
      <c r="E23" s="136"/>
      <c r="F23" s="62">
        <v>0</v>
      </c>
      <c r="G23" s="62"/>
    </row>
    <row r="24" spans="1:7" x14ac:dyDescent="0.25">
      <c r="A24" s="26">
        <v>1981</v>
      </c>
      <c r="B24" s="2">
        <v>9000</v>
      </c>
      <c r="C24" s="2">
        <v>23000</v>
      </c>
      <c r="D24" s="2">
        <f t="shared" si="0"/>
        <v>32000</v>
      </c>
      <c r="E24" s="136"/>
      <c r="F24" s="62">
        <v>40534</v>
      </c>
      <c r="G24" s="62"/>
    </row>
    <row r="25" spans="1:7" x14ac:dyDescent="0.25">
      <c r="A25" s="26">
        <v>1982</v>
      </c>
      <c r="B25" s="2">
        <v>8911</v>
      </c>
      <c r="C25" s="2">
        <v>25000</v>
      </c>
      <c r="D25" s="2">
        <f t="shared" si="0"/>
        <v>33911</v>
      </c>
      <c r="E25" s="136"/>
      <c r="F25" s="62">
        <v>0</v>
      </c>
      <c r="G25" s="62"/>
    </row>
    <row r="26" spans="1:7" x14ac:dyDescent="0.25">
      <c r="A26" s="26">
        <v>1983</v>
      </c>
      <c r="B26" s="2">
        <v>5200</v>
      </c>
      <c r="C26" s="2">
        <v>24000</v>
      </c>
      <c r="D26" s="2">
        <f t="shared" si="0"/>
        <v>29200</v>
      </c>
      <c r="E26" s="136"/>
      <c r="F26" s="62">
        <v>0</v>
      </c>
      <c r="G26" s="62"/>
    </row>
    <row r="27" spans="1:7" x14ac:dyDescent="0.25">
      <c r="A27" s="26">
        <v>1984</v>
      </c>
      <c r="B27" s="2">
        <v>26000</v>
      </c>
      <c r="C27" s="2">
        <v>80000</v>
      </c>
      <c r="D27" s="2">
        <f t="shared" si="0"/>
        <v>106000</v>
      </c>
      <c r="E27" s="136"/>
      <c r="F27" s="62">
        <v>5019</v>
      </c>
      <c r="G27" s="62"/>
    </row>
    <row r="28" spans="1:7" x14ac:dyDescent="0.25">
      <c r="A28" s="26">
        <v>1985</v>
      </c>
      <c r="B28" s="2">
        <v>14000</v>
      </c>
      <c r="C28" s="2">
        <v>20000</v>
      </c>
      <c r="D28" s="2">
        <f t="shared" si="0"/>
        <v>34000</v>
      </c>
      <c r="E28" s="136"/>
      <c r="F28" s="62">
        <v>31683</v>
      </c>
      <c r="G28" s="62"/>
    </row>
    <row r="29" spans="1:7" x14ac:dyDescent="0.25">
      <c r="A29" s="26">
        <v>1986</v>
      </c>
      <c r="B29" s="2">
        <v>4818</v>
      </c>
      <c r="C29" s="2">
        <v>12000</v>
      </c>
      <c r="D29" s="2">
        <f t="shared" si="0"/>
        <v>16818</v>
      </c>
      <c r="E29" s="136"/>
      <c r="F29" s="62">
        <v>2502</v>
      </c>
      <c r="G29" s="62"/>
    </row>
    <row r="30" spans="1:7" x14ac:dyDescent="0.25">
      <c r="A30" s="26">
        <v>1987</v>
      </c>
      <c r="B30" s="2">
        <v>6141</v>
      </c>
      <c r="C30" s="2">
        <v>15000</v>
      </c>
      <c r="D30" s="2">
        <f t="shared" si="0"/>
        <v>21141</v>
      </c>
      <c r="E30" s="136"/>
      <c r="F30" s="62">
        <v>0</v>
      </c>
      <c r="G30" s="62"/>
    </row>
    <row r="31" spans="1:7" x14ac:dyDescent="0.25">
      <c r="A31" s="26">
        <v>1988</v>
      </c>
      <c r="B31" s="2">
        <v>2430</v>
      </c>
      <c r="C31" s="2">
        <v>4000</v>
      </c>
      <c r="D31" s="2">
        <f t="shared" si="0"/>
        <v>6430</v>
      </c>
      <c r="E31" s="136"/>
      <c r="F31" s="62">
        <v>914</v>
      </c>
      <c r="G31" s="62"/>
    </row>
    <row r="32" spans="1:7" x14ac:dyDescent="0.25">
      <c r="A32" s="26">
        <v>1989</v>
      </c>
      <c r="B32" s="2">
        <v>6422</v>
      </c>
      <c r="C32" s="2">
        <v>500</v>
      </c>
      <c r="D32" s="2">
        <f t="shared" si="0"/>
        <v>6922</v>
      </c>
      <c r="E32" s="136"/>
      <c r="F32" s="62">
        <v>0</v>
      </c>
      <c r="G32" s="62"/>
    </row>
    <row r="33" spans="1:7" x14ac:dyDescent="0.25">
      <c r="A33" s="26">
        <v>1990</v>
      </c>
      <c r="B33" s="2">
        <v>4341</v>
      </c>
      <c r="C33" s="2">
        <v>6000</v>
      </c>
      <c r="D33" s="2">
        <f t="shared" si="0"/>
        <v>10341</v>
      </c>
      <c r="E33" s="136"/>
      <c r="F33" s="62">
        <v>0</v>
      </c>
      <c r="G33" s="62"/>
    </row>
    <row r="34" spans="1:7" x14ac:dyDescent="0.25">
      <c r="A34" s="26">
        <v>1991</v>
      </c>
      <c r="B34" s="2">
        <v>10500</v>
      </c>
      <c r="C34" s="2">
        <v>17180</v>
      </c>
      <c r="D34" s="2">
        <f t="shared" si="0"/>
        <v>27680</v>
      </c>
      <c r="E34" s="136"/>
      <c r="F34" s="62">
        <v>0</v>
      </c>
      <c r="G34" s="62"/>
    </row>
    <row r="35" spans="1:7" x14ac:dyDescent="0.25">
      <c r="A35" s="26">
        <v>1992</v>
      </c>
      <c r="B35" s="2">
        <v>7655</v>
      </c>
      <c r="C35" s="2">
        <v>14000</v>
      </c>
      <c r="D35" s="2">
        <f t="shared" si="0"/>
        <v>21655</v>
      </c>
      <c r="E35" s="136"/>
      <c r="F35" s="62">
        <v>0</v>
      </c>
      <c r="G35" s="62"/>
    </row>
    <row r="36" spans="1:7" x14ac:dyDescent="0.25">
      <c r="A36" s="26">
        <v>1993</v>
      </c>
      <c r="B36" s="2">
        <v>6236</v>
      </c>
      <c r="C36" s="2">
        <v>10203</v>
      </c>
      <c r="D36" s="2">
        <f t="shared" si="0"/>
        <v>16439</v>
      </c>
      <c r="E36" s="136"/>
      <c r="F36" s="62">
        <v>0</v>
      </c>
      <c r="G36" s="62"/>
    </row>
    <row r="37" spans="1:7" x14ac:dyDescent="0.25">
      <c r="A37" s="26">
        <v>1994</v>
      </c>
      <c r="B37" s="2">
        <v>19208</v>
      </c>
      <c r="C37" s="2">
        <v>38000</v>
      </c>
      <c r="D37" s="2">
        <f t="shared" si="0"/>
        <v>57208</v>
      </c>
      <c r="E37" s="136"/>
      <c r="F37" s="62">
        <v>0</v>
      </c>
      <c r="G37" s="62"/>
    </row>
    <row r="38" spans="1:7" x14ac:dyDescent="0.25">
      <c r="A38" s="26">
        <v>1995</v>
      </c>
      <c r="B38" s="2">
        <v>19671</v>
      </c>
      <c r="C38" s="2">
        <v>15000</v>
      </c>
      <c r="D38" s="2">
        <f t="shared" si="0"/>
        <v>34671</v>
      </c>
      <c r="E38" s="136"/>
      <c r="F38" s="62">
        <v>4240</v>
      </c>
      <c r="G38" s="62"/>
    </row>
    <row r="39" spans="1:7" x14ac:dyDescent="0.25">
      <c r="A39" s="26">
        <v>1996</v>
      </c>
      <c r="B39" s="2">
        <v>32000</v>
      </c>
      <c r="C39" s="2">
        <v>50000</v>
      </c>
      <c r="D39" s="2">
        <f t="shared" si="0"/>
        <v>82000</v>
      </c>
      <c r="E39" s="136"/>
      <c r="F39" s="62">
        <v>0</v>
      </c>
      <c r="G39" s="62"/>
    </row>
    <row r="40" spans="1:7" x14ac:dyDescent="0.25">
      <c r="A40" s="26">
        <v>1997</v>
      </c>
      <c r="B40" s="2">
        <v>12500</v>
      </c>
      <c r="C40" s="2">
        <v>68469</v>
      </c>
      <c r="D40" s="2">
        <f t="shared" si="0"/>
        <v>80969</v>
      </c>
      <c r="E40" s="136"/>
      <c r="F40" s="62">
        <v>1566</v>
      </c>
      <c r="G40" s="62"/>
    </row>
    <row r="41" spans="1:7" x14ac:dyDescent="0.25">
      <c r="A41" s="26">
        <v>1998</v>
      </c>
      <c r="B41" s="2">
        <v>78000</v>
      </c>
      <c r="C41" s="2">
        <v>74000</v>
      </c>
      <c r="D41" s="2">
        <f t="shared" si="0"/>
        <v>152000</v>
      </c>
      <c r="E41" s="136"/>
      <c r="F41" s="62">
        <v>25588</v>
      </c>
      <c r="G41" s="62"/>
    </row>
    <row r="42" spans="1:7" x14ac:dyDescent="0.25">
      <c r="A42" s="26">
        <v>1999</v>
      </c>
      <c r="B42" s="2">
        <v>87363</v>
      </c>
      <c r="C42" s="2">
        <v>42000</v>
      </c>
      <c r="D42" s="2">
        <f t="shared" si="0"/>
        <v>129363</v>
      </c>
      <c r="E42" s="136"/>
      <c r="F42" s="62">
        <v>321</v>
      </c>
      <c r="G42" s="62"/>
    </row>
    <row r="43" spans="1:7" x14ac:dyDescent="0.25">
      <c r="A43" s="26">
        <v>2000</v>
      </c>
      <c r="B43" s="2">
        <v>22307</v>
      </c>
      <c r="C43" s="2">
        <v>25000</v>
      </c>
      <c r="D43" s="2">
        <f t="shared" si="0"/>
        <v>47307</v>
      </c>
      <c r="E43" s="136"/>
      <c r="F43" s="62">
        <v>1715</v>
      </c>
      <c r="G43" s="62"/>
    </row>
    <row r="44" spans="1:7" x14ac:dyDescent="0.25">
      <c r="A44" s="26">
        <v>2001</v>
      </c>
      <c r="B44" s="2">
        <v>6000</v>
      </c>
      <c r="C44" s="2">
        <v>18000</v>
      </c>
      <c r="D44" s="2">
        <f t="shared" si="0"/>
        <v>24000</v>
      </c>
      <c r="E44" s="136"/>
      <c r="F44" s="62">
        <v>1151</v>
      </c>
      <c r="G44" s="62"/>
    </row>
    <row r="45" spans="1:7" x14ac:dyDescent="0.25">
      <c r="A45" s="26">
        <v>2002</v>
      </c>
      <c r="B45" s="2">
        <v>33418</v>
      </c>
      <c r="C45" s="2">
        <v>81000</v>
      </c>
      <c r="D45" s="2">
        <f t="shared" si="0"/>
        <v>114418</v>
      </c>
      <c r="E45" s="136"/>
      <c r="F45" s="62">
        <v>5960</v>
      </c>
      <c r="G45" s="62"/>
    </row>
    <row r="46" spans="1:7" x14ac:dyDescent="0.25">
      <c r="A46" s="26">
        <v>2003</v>
      </c>
      <c r="B46" s="2">
        <v>16000</v>
      </c>
      <c r="C46" s="2">
        <v>48000</v>
      </c>
      <c r="D46" s="2">
        <f t="shared" si="0"/>
        <v>64000</v>
      </c>
      <c r="E46" s="136"/>
      <c r="F46" s="62">
        <v>8959</v>
      </c>
      <c r="G46" s="62"/>
    </row>
    <row r="47" spans="1:7" x14ac:dyDescent="0.25">
      <c r="A47" s="26">
        <v>2004</v>
      </c>
      <c r="B47" s="2">
        <v>60000</v>
      </c>
      <c r="C47" s="2">
        <v>95000</v>
      </c>
      <c r="D47" s="2">
        <f t="shared" si="0"/>
        <v>155000</v>
      </c>
      <c r="E47" s="136"/>
      <c r="F47" s="62">
        <v>626513</v>
      </c>
      <c r="G47" s="62"/>
    </row>
    <row r="48" spans="1:7" x14ac:dyDescent="0.25">
      <c r="A48" s="26">
        <v>2005</v>
      </c>
      <c r="B48" s="2">
        <v>85000</v>
      </c>
      <c r="C48" s="2">
        <v>100000</v>
      </c>
      <c r="D48" s="2">
        <f t="shared" si="0"/>
        <v>185000</v>
      </c>
      <c r="E48" s="136"/>
      <c r="F48" s="62">
        <v>19615</v>
      </c>
      <c r="G48" s="62"/>
    </row>
    <row r="49" spans="1:9" x14ac:dyDescent="0.25">
      <c r="A49" s="26">
        <v>2006</v>
      </c>
      <c r="B49" s="2">
        <v>46000</v>
      </c>
      <c r="C49" s="2">
        <v>111000</v>
      </c>
      <c r="D49" s="2">
        <f t="shared" si="0"/>
        <v>157000</v>
      </c>
      <c r="E49" s="136"/>
      <c r="F49" s="62">
        <v>26037</v>
      </c>
      <c r="G49" s="62"/>
    </row>
    <row r="50" spans="1:9" x14ac:dyDescent="0.25">
      <c r="A50" s="26">
        <v>2007</v>
      </c>
      <c r="B50" s="2">
        <v>43000</v>
      </c>
      <c r="C50" s="2">
        <v>85000</v>
      </c>
      <c r="D50" s="2">
        <f t="shared" si="0"/>
        <v>128000</v>
      </c>
      <c r="E50" s="136"/>
      <c r="F50" s="62">
        <v>115553</v>
      </c>
      <c r="G50" s="62"/>
    </row>
    <row r="51" spans="1:9" x14ac:dyDescent="0.25">
      <c r="A51" s="26">
        <v>2008</v>
      </c>
      <c r="B51" s="3">
        <v>38000</v>
      </c>
      <c r="C51" s="3">
        <v>46000</v>
      </c>
      <c r="D51" s="2">
        <f t="shared" si="0"/>
        <v>84000</v>
      </c>
      <c r="E51" s="136"/>
      <c r="F51" s="62">
        <v>9465</v>
      </c>
      <c r="G51" s="62"/>
    </row>
    <row r="52" spans="1:9" x14ac:dyDescent="0.25">
      <c r="A52" s="26">
        <v>2009</v>
      </c>
      <c r="B52" s="3">
        <v>10000</v>
      </c>
      <c r="C52" s="3">
        <v>30000</v>
      </c>
      <c r="D52" s="2">
        <f t="shared" si="0"/>
        <v>40000</v>
      </c>
      <c r="E52" s="136"/>
      <c r="F52" s="63">
        <v>0</v>
      </c>
      <c r="G52" s="63"/>
      <c r="H52" s="30"/>
      <c r="I52" s="30"/>
    </row>
    <row r="53" spans="1:9" x14ac:dyDescent="0.25">
      <c r="A53" s="26">
        <v>2010</v>
      </c>
      <c r="B53" s="3">
        <v>41000</v>
      </c>
      <c r="C53" s="3">
        <v>66000</v>
      </c>
      <c r="D53" s="2">
        <f t="shared" si="0"/>
        <v>107000</v>
      </c>
      <c r="E53" s="136"/>
      <c r="F53" s="63">
        <v>952</v>
      </c>
      <c r="G53" s="63"/>
      <c r="H53" s="30"/>
      <c r="I53" s="30"/>
    </row>
    <row r="54" spans="1:9" x14ac:dyDescent="0.25">
      <c r="A54" s="26">
        <v>2011</v>
      </c>
      <c r="B54" s="3">
        <v>50000</v>
      </c>
      <c r="C54" s="3">
        <v>38000</v>
      </c>
      <c r="D54" s="2">
        <f t="shared" si="0"/>
        <v>88000</v>
      </c>
      <c r="E54" s="136"/>
      <c r="F54" s="63">
        <v>6507</v>
      </c>
      <c r="G54" s="63"/>
      <c r="H54" s="30"/>
      <c r="I54" s="30"/>
    </row>
    <row r="55" spans="1:9" x14ac:dyDescent="0.25">
      <c r="A55" s="26">
        <v>2012</v>
      </c>
      <c r="B55" s="3">
        <v>65000</v>
      </c>
      <c r="C55" s="3">
        <v>75000</v>
      </c>
      <c r="D55" s="2">
        <f t="shared" si="0"/>
        <v>140000</v>
      </c>
      <c r="E55" s="136"/>
      <c r="F55" s="63">
        <v>37018</v>
      </c>
      <c r="G55" s="63"/>
      <c r="H55" s="30"/>
      <c r="I55" s="30"/>
    </row>
    <row r="56" spans="1:9" x14ac:dyDescent="0.25">
      <c r="A56" s="26">
        <v>2013</v>
      </c>
      <c r="B56" s="3">
        <v>240000</v>
      </c>
      <c r="C56" s="3">
        <v>230000</v>
      </c>
      <c r="D56" s="2">
        <f t="shared" si="0"/>
        <v>470000</v>
      </c>
      <c r="E56" s="136"/>
      <c r="F56" s="63">
        <v>336976</v>
      </c>
      <c r="G56" s="63"/>
      <c r="H56" s="30"/>
      <c r="I56" s="30"/>
    </row>
    <row r="57" spans="1:9" x14ac:dyDescent="0.25">
      <c r="A57" s="26">
        <v>2014</v>
      </c>
      <c r="B57" s="3">
        <v>127000</v>
      </c>
      <c r="C57" s="3">
        <v>103000</v>
      </c>
      <c r="D57" s="2">
        <f t="shared" si="0"/>
        <v>230000</v>
      </c>
      <c r="E57" s="136"/>
      <c r="F57" s="63">
        <v>96410</v>
      </c>
      <c r="G57" s="63"/>
      <c r="H57" s="30"/>
      <c r="I57" s="30"/>
    </row>
    <row r="58" spans="1:9" x14ac:dyDescent="0.25">
      <c r="A58" s="26">
        <v>2015</v>
      </c>
      <c r="B58" s="3">
        <v>106000</v>
      </c>
      <c r="C58" s="3">
        <v>72000</v>
      </c>
      <c r="D58" s="2">
        <f t="shared" ref="D58:D67" si="1">SUM(B58:C58)</f>
        <v>178000</v>
      </c>
      <c r="E58" s="136"/>
      <c r="F58" s="63">
        <v>11282</v>
      </c>
      <c r="G58" s="63"/>
      <c r="H58" s="30"/>
      <c r="I58" s="30"/>
    </row>
    <row r="59" spans="1:9" x14ac:dyDescent="0.25">
      <c r="A59" s="26">
        <v>2016</v>
      </c>
      <c r="B59" s="3">
        <v>21000</v>
      </c>
      <c r="C59" s="3">
        <v>31000</v>
      </c>
      <c r="D59" s="3">
        <f t="shared" si="1"/>
        <v>52000</v>
      </c>
      <c r="E59" s="136"/>
      <c r="F59" s="63">
        <v>0</v>
      </c>
      <c r="G59" s="63"/>
      <c r="H59" s="30"/>
      <c r="I59" s="30"/>
    </row>
    <row r="60" spans="1:9" x14ac:dyDescent="0.25">
      <c r="A60" s="26">
        <v>2017</v>
      </c>
      <c r="B60" s="11">
        <v>21000</v>
      </c>
      <c r="C60" s="11">
        <v>28000</v>
      </c>
      <c r="D60" s="11">
        <f t="shared" si="1"/>
        <v>49000</v>
      </c>
      <c r="E60" s="136"/>
      <c r="F60" s="63">
        <v>7250</v>
      </c>
      <c r="G60" s="63"/>
      <c r="H60" s="30"/>
      <c r="I60" s="30"/>
    </row>
    <row r="61" spans="1:9" x14ac:dyDescent="0.25">
      <c r="A61" s="26">
        <v>2018</v>
      </c>
      <c r="B61" s="63">
        <v>17000</v>
      </c>
      <c r="C61" s="63">
        <v>13200</v>
      </c>
      <c r="D61" s="63">
        <f t="shared" si="1"/>
        <v>30200</v>
      </c>
      <c r="E61" s="136"/>
      <c r="F61" s="63">
        <v>0</v>
      </c>
      <c r="G61" s="63">
        <f>F61+D61</f>
        <v>30200</v>
      </c>
      <c r="H61" s="30"/>
      <c r="I61" s="30"/>
    </row>
    <row r="62" spans="1:9" x14ac:dyDescent="0.25">
      <c r="A62" s="26">
        <v>2019</v>
      </c>
      <c r="B62" s="63">
        <v>2000</v>
      </c>
      <c r="C62" s="63">
        <v>7000</v>
      </c>
      <c r="D62" s="63">
        <f t="shared" si="1"/>
        <v>9000</v>
      </c>
      <c r="E62" s="136"/>
      <c r="F62" s="63">
        <v>800</v>
      </c>
      <c r="G62" s="63">
        <f t="shared" ref="G62:G65" si="2">F62+D62</f>
        <v>9800</v>
      </c>
      <c r="H62" s="30"/>
      <c r="I62" s="30"/>
    </row>
    <row r="63" spans="1:9" x14ac:dyDescent="0.25">
      <c r="A63" s="26">
        <v>2020</v>
      </c>
      <c r="B63" s="63">
        <v>20000</v>
      </c>
      <c r="C63" s="63">
        <v>43000</v>
      </c>
      <c r="D63" s="63">
        <f t="shared" si="1"/>
        <v>63000</v>
      </c>
      <c r="E63" s="136"/>
      <c r="F63" s="63">
        <v>2841</v>
      </c>
      <c r="G63" s="63">
        <f t="shared" si="2"/>
        <v>65841</v>
      </c>
      <c r="H63" s="30"/>
      <c r="I63" s="30"/>
    </row>
    <row r="64" spans="1:9" x14ac:dyDescent="0.25">
      <c r="A64" s="26">
        <v>2021</v>
      </c>
      <c r="B64" s="63">
        <v>4000</v>
      </c>
      <c r="C64" s="63">
        <v>6000</v>
      </c>
      <c r="D64" s="63">
        <f t="shared" si="1"/>
        <v>10000</v>
      </c>
      <c r="E64" s="136"/>
      <c r="F64" s="63">
        <v>772</v>
      </c>
      <c r="G64" s="63">
        <f t="shared" si="2"/>
        <v>10772</v>
      </c>
      <c r="H64" s="30"/>
      <c r="I64" s="30"/>
    </row>
    <row r="65" spans="1:9" x14ac:dyDescent="0.25">
      <c r="A65" s="26">
        <v>2022</v>
      </c>
      <c r="B65" s="63">
        <v>9000</v>
      </c>
      <c r="C65" s="63">
        <v>13000</v>
      </c>
      <c r="D65" s="63">
        <f t="shared" si="1"/>
        <v>22000</v>
      </c>
      <c r="E65" s="136"/>
      <c r="F65" s="63">
        <v>0</v>
      </c>
      <c r="G65" s="63">
        <f t="shared" si="2"/>
        <v>22000</v>
      </c>
      <c r="H65" s="30"/>
      <c r="I65" s="30"/>
    </row>
    <row r="66" spans="1:9" x14ac:dyDescent="0.25">
      <c r="A66" s="26">
        <v>2023</v>
      </c>
      <c r="B66" s="63">
        <v>7000</v>
      </c>
      <c r="C66" s="63">
        <v>9000</v>
      </c>
      <c r="D66" s="63">
        <f t="shared" si="1"/>
        <v>16000</v>
      </c>
      <c r="E66" s="136"/>
      <c r="F66" s="63"/>
      <c r="G66" s="63"/>
      <c r="H66" s="30"/>
      <c r="I66" s="30"/>
    </row>
    <row r="67" spans="1:9" x14ac:dyDescent="0.25">
      <c r="A67" s="26">
        <v>2024</v>
      </c>
      <c r="B67" s="189">
        <v>60000</v>
      </c>
      <c r="C67" s="189">
        <v>70000</v>
      </c>
      <c r="D67" s="63">
        <f t="shared" si="1"/>
        <v>130000</v>
      </c>
      <c r="E67" s="136"/>
      <c r="F67" s="63">
        <v>93184</v>
      </c>
      <c r="G67" s="63"/>
      <c r="H67" s="30"/>
      <c r="I67" s="30"/>
    </row>
    <row r="68" spans="1:9" ht="13.8" x14ac:dyDescent="0.25">
      <c r="A68" s="66" t="s">
        <v>108</v>
      </c>
      <c r="B68" s="128">
        <f>AVERAGE(B3:B67)</f>
        <v>24763.353846153845</v>
      </c>
      <c r="C68" s="128">
        <f>AVERAGE(C3:C67)</f>
        <v>32965.061538461538</v>
      </c>
      <c r="D68" s="128">
        <f>AVERAGE(D3:D67)</f>
        <v>57728.415384615386</v>
      </c>
      <c r="E68" s="128"/>
      <c r="F68" s="128">
        <f>AVERAGE(F3:F67)</f>
        <v>23770.734375</v>
      </c>
      <c r="G68" s="10"/>
    </row>
    <row r="69" spans="1:9" ht="13.8" x14ac:dyDescent="0.25">
      <c r="A69" s="22" t="s">
        <v>360</v>
      </c>
      <c r="B69" s="92">
        <f>AVERAGE(B57:B66)</f>
        <v>33400</v>
      </c>
      <c r="C69" s="92">
        <f>AVERAGE(C57:C66)</f>
        <v>32520</v>
      </c>
      <c r="D69" s="92">
        <f t="shared" ref="D69:F69" si="3">AVERAGE(D57:D66)</f>
        <v>65920</v>
      </c>
      <c r="E69" s="92"/>
      <c r="F69" s="92">
        <f t="shared" si="3"/>
        <v>13261.666666666666</v>
      </c>
      <c r="G69" s="10"/>
    </row>
    <row r="70" spans="1:9" ht="13.8" x14ac:dyDescent="0.25">
      <c r="A70" s="22" t="s">
        <v>361</v>
      </c>
      <c r="B70" s="96">
        <f>RANK(B67,B3:B67)</f>
        <v>8</v>
      </c>
      <c r="C70" s="96">
        <f t="shared" ref="C70:F70" si="4">RANK(C67,C3:C67)</f>
        <v>12</v>
      </c>
      <c r="D70" s="96">
        <f t="shared" si="4"/>
        <v>9</v>
      </c>
      <c r="E70" s="96"/>
      <c r="F70" s="96">
        <f t="shared" si="4"/>
        <v>5</v>
      </c>
      <c r="G70"/>
    </row>
    <row r="71" spans="1:9" ht="14.4" thickBot="1" x14ac:dyDescent="0.3">
      <c r="A71" s="23" t="s">
        <v>362</v>
      </c>
      <c r="B71" s="129">
        <f>B67/B69</f>
        <v>1.7964071856287425</v>
      </c>
      <c r="C71" s="129">
        <f t="shared" ref="C71:F71" si="5">C67/C69</f>
        <v>2.1525215252152523</v>
      </c>
      <c r="D71" s="129">
        <f t="shared" si="5"/>
        <v>1.9720873786407767</v>
      </c>
      <c r="E71" s="129"/>
      <c r="F71" s="129">
        <f t="shared" si="5"/>
        <v>7.0265678019354034</v>
      </c>
      <c r="G71" s="27"/>
    </row>
    <row r="72" spans="1:9" x14ac:dyDescent="0.25">
      <c r="D72" s="192" t="s">
        <v>289</v>
      </c>
      <c r="E72" s="194"/>
      <c r="F72" s="193"/>
    </row>
    <row r="73" spans="1:9" ht="13.8" thickBot="1" x14ac:dyDescent="0.3">
      <c r="D73" s="50">
        <v>10000</v>
      </c>
      <c r="E73" s="134"/>
      <c r="F73" s="51">
        <v>30000</v>
      </c>
    </row>
    <row r="74" spans="1:9" ht="14.4" thickBot="1" x14ac:dyDescent="0.3">
      <c r="A74" s="158" t="s">
        <v>344</v>
      </c>
      <c r="D74" s="175">
        <v>30000</v>
      </c>
      <c r="E74" s="177"/>
      <c r="F74" s="176">
        <v>100000</v>
      </c>
    </row>
    <row r="75" spans="1:9" ht="13.8" x14ac:dyDescent="0.25">
      <c r="A75" s="159" t="s">
        <v>345</v>
      </c>
    </row>
    <row r="76" spans="1:9" ht="13.8" x14ac:dyDescent="0.25">
      <c r="A76" s="160" t="s">
        <v>346</v>
      </c>
    </row>
    <row r="77" spans="1:9" x14ac:dyDescent="0.25">
      <c r="A77" s="179" t="s">
        <v>355</v>
      </c>
    </row>
  </sheetData>
  <mergeCells count="1">
    <mergeCell ref="D72:F72"/>
  </mergeCells>
  <phoneticPr fontId="10" type="noConversion"/>
  <pageMargins left="0.75" right="0.75" top="1" bottom="1" header="0.5" footer="0.5"/>
  <pageSetup scale="66" orientation="portrait" r:id="rId1"/>
  <headerFooter alignWithMargins="0">
    <oddFooter>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92D050"/>
    <pageSetUpPr fitToPage="1"/>
  </sheetPr>
  <dimension ref="A1:T77"/>
  <sheetViews>
    <sheetView zoomScale="110" zoomScaleNormal="110" workbookViewId="0">
      <pane xSplit="1" ySplit="2" topLeftCell="L51" activePane="bottomRight" state="frozen"/>
      <selection pane="topRight" activeCell="B1" sqref="B1"/>
      <selection pane="bottomLeft" activeCell="A3" sqref="A3"/>
      <selection pane="bottomRight" activeCell="O67" sqref="O67"/>
    </sheetView>
  </sheetViews>
  <sheetFormatPr defaultRowHeight="13.2" x14ac:dyDescent="0.25"/>
  <cols>
    <col min="1" max="1" width="23.109375" customWidth="1"/>
    <col min="2" max="2" width="11.6640625" bestFit="1" customWidth="1"/>
    <col min="3" max="3" width="15.109375" bestFit="1" customWidth="1"/>
    <col min="4" max="4" width="13.88671875" bestFit="1" customWidth="1"/>
    <col min="5" max="5" width="15.109375" bestFit="1" customWidth="1"/>
    <col min="6" max="6" width="10.5546875" bestFit="1" customWidth="1"/>
    <col min="7" max="7" width="12" bestFit="1" customWidth="1"/>
    <col min="8" max="9" width="9.88671875" bestFit="1" customWidth="1"/>
    <col min="10" max="10" width="17.44140625" bestFit="1" customWidth="1"/>
    <col min="11" max="11" width="9.88671875" bestFit="1" customWidth="1"/>
    <col min="12" max="12" width="13.109375" bestFit="1" customWidth="1"/>
    <col min="13" max="13" width="15.109375" bestFit="1" customWidth="1"/>
    <col min="14" max="14" width="15.6640625" bestFit="1" customWidth="1"/>
    <col min="15" max="15" width="10.33203125" bestFit="1" customWidth="1"/>
    <col min="16" max="16" width="3.44140625" style="28" customWidth="1"/>
    <col min="17" max="17" width="11.5546875" style="14" customWidth="1"/>
    <col min="18" max="18" width="12.6640625" style="14" customWidth="1"/>
    <col min="19" max="20" width="11.44140625" bestFit="1" customWidth="1"/>
  </cols>
  <sheetData>
    <row r="1" spans="1:18" s="14" customFormat="1" x14ac:dyDescent="0.25">
      <c r="B1" s="38" t="s">
        <v>77</v>
      </c>
      <c r="C1" s="38" t="s">
        <v>78</v>
      </c>
      <c r="D1" s="38" t="s">
        <v>79</v>
      </c>
      <c r="E1" s="38" t="s">
        <v>80</v>
      </c>
      <c r="F1" s="38" t="s">
        <v>81</v>
      </c>
      <c r="G1" s="15" t="s">
        <v>150</v>
      </c>
      <c r="H1" s="38" t="s">
        <v>82</v>
      </c>
      <c r="I1" s="38" t="s">
        <v>83</v>
      </c>
      <c r="J1" s="38" t="s">
        <v>84</v>
      </c>
      <c r="K1" s="38" t="s">
        <v>85</v>
      </c>
      <c r="L1" s="38" t="s">
        <v>86</v>
      </c>
      <c r="M1" s="38" t="s">
        <v>87</v>
      </c>
      <c r="N1" s="120">
        <v>11341019</v>
      </c>
      <c r="P1" s="29"/>
    </row>
    <row r="2" spans="1:18" s="14" customFormat="1" x14ac:dyDescent="0.25">
      <c r="B2" s="14" t="s">
        <v>127</v>
      </c>
      <c r="C2" s="15" t="s">
        <v>120</v>
      </c>
      <c r="D2" s="14" t="s">
        <v>126</v>
      </c>
      <c r="E2" s="15" t="s">
        <v>88</v>
      </c>
      <c r="F2" s="14" t="s">
        <v>125</v>
      </c>
      <c r="G2" s="15" t="s">
        <v>151</v>
      </c>
      <c r="H2" s="14" t="s">
        <v>124</v>
      </c>
      <c r="I2" s="14" t="s">
        <v>128</v>
      </c>
      <c r="J2" s="14" t="s">
        <v>89</v>
      </c>
      <c r="K2" s="14" t="s">
        <v>340</v>
      </c>
      <c r="L2" s="14" t="s">
        <v>90</v>
      </c>
      <c r="M2" s="14" t="s">
        <v>129</v>
      </c>
      <c r="N2" s="121" t="s">
        <v>329</v>
      </c>
      <c r="O2" s="14" t="s">
        <v>4</v>
      </c>
      <c r="P2" s="29"/>
      <c r="Q2" s="14" t="s">
        <v>140</v>
      </c>
    </row>
    <row r="3" spans="1:18" x14ac:dyDescent="0.25">
      <c r="A3" s="6">
        <v>1960</v>
      </c>
      <c r="B3" s="12">
        <v>200</v>
      </c>
      <c r="C3" s="4">
        <v>46.098305961840261</v>
      </c>
      <c r="D3" s="4">
        <v>419.62409450556225</v>
      </c>
      <c r="E3" s="4">
        <v>144.07813082450346</v>
      </c>
      <c r="F3" s="4">
        <v>75.390757523199085</v>
      </c>
      <c r="G3" s="11">
        <v>2915</v>
      </c>
      <c r="H3" s="12">
        <v>2900</v>
      </c>
      <c r="I3" s="4">
        <v>862.11284852321614</v>
      </c>
      <c r="J3" s="12">
        <v>500</v>
      </c>
      <c r="K3" s="4">
        <v>198.94440960898802</v>
      </c>
      <c r="L3" s="12">
        <v>400</v>
      </c>
      <c r="M3" s="12">
        <v>200</v>
      </c>
      <c r="N3" s="122"/>
      <c r="O3" s="11">
        <f t="shared" ref="O3:O34" si="0">SUM(B3:M3)</f>
        <v>8861.2485469473104</v>
      </c>
      <c r="Q3" s="56">
        <v>5892</v>
      </c>
      <c r="R3" s="56"/>
    </row>
    <row r="4" spans="1:18" x14ac:dyDescent="0.25">
      <c r="A4" s="6">
        <v>1961</v>
      </c>
      <c r="B4" s="12">
        <v>1500</v>
      </c>
      <c r="C4" s="4">
        <v>396.13425710143161</v>
      </c>
      <c r="D4" s="4">
        <v>3605.9346525937658</v>
      </c>
      <c r="E4" s="4">
        <v>1238.0993641318635</v>
      </c>
      <c r="F4" s="4">
        <v>647.85160973928021</v>
      </c>
      <c r="G4" s="11">
        <v>7412</v>
      </c>
      <c r="H4" s="12">
        <v>3000</v>
      </c>
      <c r="I4" s="12">
        <v>2000</v>
      </c>
      <c r="J4" s="12">
        <v>14000</v>
      </c>
      <c r="K4" s="4">
        <v>1709.578999813004</v>
      </c>
      <c r="L4" s="12">
        <v>12000</v>
      </c>
      <c r="M4" s="12">
        <v>11000</v>
      </c>
      <c r="N4" s="122"/>
      <c r="O4" s="11">
        <f t="shared" si="0"/>
        <v>58509.598883379345</v>
      </c>
      <c r="Q4" s="56">
        <v>34503</v>
      </c>
      <c r="R4" s="56"/>
    </row>
    <row r="5" spans="1:18" x14ac:dyDescent="0.25">
      <c r="A5" s="6">
        <v>1962</v>
      </c>
      <c r="B5" s="12">
        <v>250</v>
      </c>
      <c r="C5" s="4">
        <v>135.83825948009272</v>
      </c>
      <c r="D5" s="4">
        <v>1236.5097897852811</v>
      </c>
      <c r="E5" s="4">
        <v>424.55621966105798</v>
      </c>
      <c r="F5" s="4">
        <v>222.1545687865067</v>
      </c>
      <c r="G5" s="11">
        <v>900</v>
      </c>
      <c r="H5" s="12">
        <v>5000</v>
      </c>
      <c r="I5" s="12">
        <v>1400</v>
      </c>
      <c r="J5" s="12">
        <v>2900</v>
      </c>
      <c r="K5" s="12">
        <v>350</v>
      </c>
      <c r="L5" s="12">
        <v>1500</v>
      </c>
      <c r="M5" s="12">
        <v>4300</v>
      </c>
      <c r="N5" s="123">
        <v>500</v>
      </c>
      <c r="O5" s="11">
        <f t="shared" si="0"/>
        <v>18619.058837712939</v>
      </c>
      <c r="Q5" s="56">
        <v>486</v>
      </c>
      <c r="R5" s="56"/>
    </row>
    <row r="6" spans="1:18" x14ac:dyDescent="0.25">
      <c r="A6" s="6">
        <v>1963</v>
      </c>
      <c r="B6" s="12">
        <v>7000</v>
      </c>
      <c r="C6" s="4">
        <v>1231.360340385261</v>
      </c>
      <c r="D6" s="12">
        <v>6000</v>
      </c>
      <c r="E6" s="4">
        <v>3848.5599928295392</v>
      </c>
      <c r="F6" s="12">
        <v>200</v>
      </c>
      <c r="G6" s="11">
        <v>9000</v>
      </c>
      <c r="H6" s="12">
        <v>18000</v>
      </c>
      <c r="I6" s="12">
        <v>60000</v>
      </c>
      <c r="J6" s="12">
        <v>17000</v>
      </c>
      <c r="K6" s="12">
        <v>7000</v>
      </c>
      <c r="L6" s="12">
        <v>4500</v>
      </c>
      <c r="M6" s="12">
        <v>35000</v>
      </c>
      <c r="N6" s="123">
        <v>300</v>
      </c>
      <c r="O6" s="11">
        <f t="shared" si="0"/>
        <v>168779.9203332148</v>
      </c>
      <c r="Q6" s="56">
        <v>0</v>
      </c>
      <c r="R6" s="56"/>
    </row>
    <row r="7" spans="1:18" x14ac:dyDescent="0.25">
      <c r="A7" s="6">
        <v>1964</v>
      </c>
      <c r="B7" s="12">
        <v>500</v>
      </c>
      <c r="C7" s="4">
        <v>83.011589531252341</v>
      </c>
      <c r="D7" s="12">
        <v>4000</v>
      </c>
      <c r="E7" s="4">
        <v>259.44889723328509</v>
      </c>
      <c r="F7" s="4">
        <v>135.76001300287851</v>
      </c>
      <c r="G7" s="11">
        <v>500</v>
      </c>
      <c r="H7" s="12">
        <v>1000</v>
      </c>
      <c r="I7" s="12">
        <v>500</v>
      </c>
      <c r="J7" s="12">
        <v>800</v>
      </c>
      <c r="K7" s="12">
        <v>200</v>
      </c>
      <c r="L7" s="12">
        <v>400</v>
      </c>
      <c r="M7" s="12">
        <v>3000</v>
      </c>
      <c r="N7" s="123">
        <v>300</v>
      </c>
      <c r="O7" s="11">
        <f t="shared" si="0"/>
        <v>11378.220499767416</v>
      </c>
      <c r="Q7" s="56">
        <v>0</v>
      </c>
      <c r="R7" s="56"/>
    </row>
    <row r="8" spans="1:18" x14ac:dyDescent="0.25">
      <c r="A8" s="6">
        <v>1965</v>
      </c>
      <c r="B8" s="4">
        <v>14231.549087248592</v>
      </c>
      <c r="C8" s="4">
        <v>622.98657311230261</v>
      </c>
      <c r="D8" s="4">
        <v>5670.9280588037009</v>
      </c>
      <c r="E8" s="4">
        <v>1947.1158245781282</v>
      </c>
      <c r="F8" s="4">
        <v>1018.853701484111</v>
      </c>
      <c r="G8" s="11">
        <v>100</v>
      </c>
      <c r="H8" s="12">
        <v>5000</v>
      </c>
      <c r="I8" s="12">
        <v>30000</v>
      </c>
      <c r="J8" s="12">
        <v>9000</v>
      </c>
      <c r="K8" s="12">
        <v>4000</v>
      </c>
      <c r="L8" s="12">
        <v>2500</v>
      </c>
      <c r="M8" s="12">
        <v>11300</v>
      </c>
      <c r="N8" s="123">
        <v>500</v>
      </c>
      <c r="O8" s="11">
        <f t="shared" si="0"/>
        <v>85391.433245226828</v>
      </c>
      <c r="Q8" s="56">
        <v>75714</v>
      </c>
      <c r="R8" s="56"/>
    </row>
    <row r="9" spans="1:18" x14ac:dyDescent="0.25">
      <c r="A9" s="6">
        <v>1966</v>
      </c>
      <c r="B9" s="4">
        <v>2523.6906055199493</v>
      </c>
      <c r="C9" s="4">
        <v>110.47464701112422</v>
      </c>
      <c r="D9" s="4">
        <v>1005.6296597954198</v>
      </c>
      <c r="E9" s="4">
        <v>345.28341815768601</v>
      </c>
      <c r="F9" s="4">
        <v>180.674043204051</v>
      </c>
      <c r="G9" s="11">
        <v>1000</v>
      </c>
      <c r="H9" s="12">
        <v>1500</v>
      </c>
      <c r="I9" s="12">
        <v>2000</v>
      </c>
      <c r="J9" s="12">
        <v>2000</v>
      </c>
      <c r="K9" s="4">
        <v>476.77052229829138</v>
      </c>
      <c r="L9" s="12">
        <v>2000</v>
      </c>
      <c r="M9" s="12">
        <v>2000</v>
      </c>
      <c r="N9" s="123">
        <v>300</v>
      </c>
      <c r="O9" s="11">
        <f t="shared" si="0"/>
        <v>15142.52289598652</v>
      </c>
      <c r="Q9" s="56">
        <v>79</v>
      </c>
      <c r="R9" s="56"/>
    </row>
    <row r="10" spans="1:18" x14ac:dyDescent="0.25">
      <c r="A10" s="6">
        <v>1967</v>
      </c>
      <c r="B10" s="12">
        <v>500</v>
      </c>
      <c r="C10" s="4">
        <v>431.48745793632133</v>
      </c>
      <c r="D10" s="4">
        <v>3927.7481010991178</v>
      </c>
      <c r="E10" s="4">
        <v>1348.5941636229934</v>
      </c>
      <c r="F10" s="12">
        <v>250</v>
      </c>
      <c r="G10" s="11">
        <v>4236</v>
      </c>
      <c r="H10" s="12">
        <v>2000</v>
      </c>
      <c r="I10" s="12">
        <v>15000</v>
      </c>
      <c r="J10" s="12">
        <v>10000</v>
      </c>
      <c r="K10" s="12">
        <v>200</v>
      </c>
      <c r="L10" s="12">
        <v>2000</v>
      </c>
      <c r="M10" s="12">
        <v>20000</v>
      </c>
      <c r="N10" s="123">
        <v>150</v>
      </c>
      <c r="O10" s="11">
        <f t="shared" si="0"/>
        <v>59893.829722658433</v>
      </c>
      <c r="Q10" s="56">
        <v>6609</v>
      </c>
      <c r="R10" s="56"/>
    </row>
    <row r="11" spans="1:18" x14ac:dyDescent="0.25">
      <c r="A11" s="6">
        <v>1968</v>
      </c>
      <c r="B11" s="12">
        <v>100</v>
      </c>
      <c r="C11" s="4">
        <v>25.120156369867967</v>
      </c>
      <c r="D11" s="4">
        <v>228.66399631407768</v>
      </c>
      <c r="E11" s="4">
        <v>78.511891020748095</v>
      </c>
      <c r="F11" s="4">
        <v>41.082369030278791</v>
      </c>
      <c r="G11" s="11">
        <v>500</v>
      </c>
      <c r="H11" s="12">
        <v>200</v>
      </c>
      <c r="I11" s="4">
        <v>469.78753529031417</v>
      </c>
      <c r="J11" s="12">
        <v>1000</v>
      </c>
      <c r="K11" s="12">
        <v>200</v>
      </c>
      <c r="L11" s="12">
        <v>500</v>
      </c>
      <c r="M11" s="12">
        <v>100</v>
      </c>
      <c r="N11" s="123"/>
      <c r="O11" s="11">
        <f t="shared" si="0"/>
        <v>3443.1659480252865</v>
      </c>
      <c r="Q11" s="56">
        <v>0</v>
      </c>
      <c r="R11" s="56"/>
    </row>
    <row r="12" spans="1:18" x14ac:dyDescent="0.25">
      <c r="A12" s="6">
        <v>1969</v>
      </c>
      <c r="B12" s="4">
        <v>17022.86510441692</v>
      </c>
      <c r="C12" s="4">
        <v>745.17652908587877</v>
      </c>
      <c r="D12" s="4">
        <v>6783.1999825040702</v>
      </c>
      <c r="E12" s="4">
        <v>2329.0149155843856</v>
      </c>
      <c r="F12" s="4">
        <v>1218.6873640574638</v>
      </c>
      <c r="G12" s="11">
        <v>8912</v>
      </c>
      <c r="H12" s="4">
        <v>5869.8999919440221</v>
      </c>
      <c r="I12" s="4">
        <v>13936.005952834481</v>
      </c>
      <c r="J12" s="12">
        <v>15000</v>
      </c>
      <c r="K12" s="4">
        <v>3215.9252501744281</v>
      </c>
      <c r="L12" s="12">
        <v>5000</v>
      </c>
      <c r="M12" s="12">
        <v>25000</v>
      </c>
      <c r="N12" s="123">
        <v>500</v>
      </c>
      <c r="O12" s="11">
        <f t="shared" si="0"/>
        <v>105032.77509060166</v>
      </c>
      <c r="Q12" s="56">
        <v>0</v>
      </c>
      <c r="R12" s="56"/>
    </row>
    <row r="13" spans="1:18" x14ac:dyDescent="0.25">
      <c r="A13" s="6">
        <v>1970</v>
      </c>
      <c r="B13" s="4">
        <v>840.55871384093007</v>
      </c>
      <c r="C13" s="4">
        <v>36.795487945873312</v>
      </c>
      <c r="D13" s="4">
        <v>334.94231486604497</v>
      </c>
      <c r="E13" s="4">
        <v>115.00260183638692</v>
      </c>
      <c r="F13" s="4">
        <v>60.176608461715013</v>
      </c>
      <c r="G13" s="11">
        <v>1230</v>
      </c>
      <c r="H13" s="12">
        <v>200</v>
      </c>
      <c r="I13" s="12">
        <v>500</v>
      </c>
      <c r="J13" s="12">
        <v>1000</v>
      </c>
      <c r="K13" s="4">
        <v>158.79665122221741</v>
      </c>
      <c r="L13" s="12">
        <v>1000</v>
      </c>
      <c r="M13" s="12">
        <v>500</v>
      </c>
      <c r="N13" s="123"/>
      <c r="O13" s="11">
        <f t="shared" si="0"/>
        <v>5976.2723781731675</v>
      </c>
      <c r="Q13" s="56">
        <v>3375</v>
      </c>
      <c r="R13" s="56"/>
    </row>
    <row r="14" spans="1:18" x14ac:dyDescent="0.25">
      <c r="A14" s="6">
        <v>1971</v>
      </c>
      <c r="B14" s="4">
        <v>13912.67140106226</v>
      </c>
      <c r="C14" s="4">
        <v>609.02769094340977</v>
      </c>
      <c r="D14" s="4">
        <v>5543.8630154467073</v>
      </c>
      <c r="E14" s="4">
        <v>1903.487982095204</v>
      </c>
      <c r="F14" s="12">
        <v>5000</v>
      </c>
      <c r="G14" s="11">
        <v>4861</v>
      </c>
      <c r="H14" s="12">
        <v>3000</v>
      </c>
      <c r="I14" s="4">
        <v>11389.802435743304</v>
      </c>
      <c r="J14" s="12">
        <v>10000</v>
      </c>
      <c r="K14" s="12">
        <v>1000</v>
      </c>
      <c r="L14" s="12">
        <v>5200</v>
      </c>
      <c r="M14" s="12">
        <v>21000</v>
      </c>
      <c r="N14" s="123">
        <v>300</v>
      </c>
      <c r="O14" s="11">
        <f t="shared" si="0"/>
        <v>83419.852525290888</v>
      </c>
      <c r="Q14" s="56">
        <v>2596</v>
      </c>
      <c r="R14" s="56"/>
    </row>
    <row r="15" spans="1:18" x14ac:dyDescent="0.25">
      <c r="A15" s="6">
        <v>1972</v>
      </c>
      <c r="B15" s="4">
        <v>505.80626868521318</v>
      </c>
      <c r="C15" s="4">
        <v>22.141687621034787</v>
      </c>
      <c r="D15" s="4">
        <v>201.55156290913936</v>
      </c>
      <c r="E15" s="4">
        <v>69.202824215557911</v>
      </c>
      <c r="F15" s="4">
        <v>36.211278632956471</v>
      </c>
      <c r="G15" s="11">
        <v>200</v>
      </c>
      <c r="H15" s="12">
        <v>300</v>
      </c>
      <c r="I15" s="12">
        <v>500</v>
      </c>
      <c r="J15" s="12">
        <v>500</v>
      </c>
      <c r="K15" s="12">
        <v>100</v>
      </c>
      <c r="L15" s="12">
        <v>300</v>
      </c>
      <c r="M15" s="12">
        <v>300</v>
      </c>
      <c r="N15" s="123">
        <v>200</v>
      </c>
      <c r="O15" s="11">
        <f t="shared" si="0"/>
        <v>3034.913622063902</v>
      </c>
      <c r="Q15" s="56">
        <v>0</v>
      </c>
      <c r="R15" s="56"/>
    </row>
    <row r="16" spans="1:18" x14ac:dyDescent="0.25">
      <c r="A16" s="6">
        <v>1973</v>
      </c>
      <c r="B16" s="12">
        <v>5300</v>
      </c>
      <c r="C16" s="4">
        <v>1278.2664928982831</v>
      </c>
      <c r="D16" s="4">
        <v>11635.816279366511</v>
      </c>
      <c r="E16" s="4">
        <v>3995.1630091368525</v>
      </c>
      <c r="F16" s="12">
        <v>500</v>
      </c>
      <c r="G16" s="11">
        <v>6000</v>
      </c>
      <c r="H16" s="12">
        <v>19000</v>
      </c>
      <c r="I16" s="12">
        <v>15000</v>
      </c>
      <c r="J16" s="12">
        <v>22000</v>
      </c>
      <c r="K16" s="12">
        <v>1500</v>
      </c>
      <c r="L16" s="12">
        <v>34000</v>
      </c>
      <c r="M16" s="12">
        <v>55000</v>
      </c>
      <c r="N16" s="123">
        <v>500</v>
      </c>
      <c r="O16" s="11">
        <f t="shared" si="0"/>
        <v>175209.24578140164</v>
      </c>
      <c r="Q16" s="56">
        <v>111096</v>
      </c>
      <c r="R16" s="56"/>
    </row>
    <row r="17" spans="1:18" x14ac:dyDescent="0.25">
      <c r="A17" s="6">
        <v>1974</v>
      </c>
      <c r="B17" s="12">
        <v>6000</v>
      </c>
      <c r="C17" s="4">
        <v>400.9838256068594</v>
      </c>
      <c r="D17" s="4">
        <v>3650.0793474088146</v>
      </c>
      <c r="E17" s="4">
        <v>1253.2564660389744</v>
      </c>
      <c r="F17" s="12">
        <v>1000</v>
      </c>
      <c r="G17" s="11">
        <v>500</v>
      </c>
      <c r="H17" s="4">
        <v>3158.6273064091388</v>
      </c>
      <c r="I17" s="4">
        <v>7499.0457935156383</v>
      </c>
      <c r="J17" s="12">
        <v>25000</v>
      </c>
      <c r="K17" s="12">
        <v>500</v>
      </c>
      <c r="L17" s="12">
        <v>1000</v>
      </c>
      <c r="M17" s="12">
        <v>5000</v>
      </c>
      <c r="N17" s="123"/>
      <c r="O17" s="11">
        <f t="shared" si="0"/>
        <v>54961.992738979425</v>
      </c>
      <c r="Q17" s="56">
        <v>2408</v>
      </c>
      <c r="R17" s="56"/>
    </row>
    <row r="18" spans="1:18" x14ac:dyDescent="0.25">
      <c r="A18" s="6">
        <v>1975</v>
      </c>
      <c r="B18" s="12">
        <v>17500</v>
      </c>
      <c r="C18" s="4">
        <v>1510.275889323128</v>
      </c>
      <c r="D18" s="12">
        <v>3000</v>
      </c>
      <c r="E18" s="12">
        <v>2000</v>
      </c>
      <c r="F18" s="12">
        <v>6000</v>
      </c>
      <c r="G18" s="11">
        <v>10000</v>
      </c>
      <c r="H18" s="12">
        <v>20000</v>
      </c>
      <c r="I18" s="12">
        <v>20000</v>
      </c>
      <c r="J18" s="12">
        <v>35000</v>
      </c>
      <c r="K18" s="12">
        <v>2000</v>
      </c>
      <c r="L18" s="12">
        <v>40000</v>
      </c>
      <c r="M18" s="12">
        <v>50000</v>
      </c>
      <c r="N18" s="123"/>
      <c r="O18" s="11">
        <f t="shared" si="0"/>
        <v>207010.27588932312</v>
      </c>
      <c r="Q18" s="56">
        <v>364083</v>
      </c>
      <c r="R18" s="56"/>
    </row>
    <row r="19" spans="1:18" x14ac:dyDescent="0.25">
      <c r="A19" s="6">
        <v>1976</v>
      </c>
      <c r="B19" s="12">
        <v>25000</v>
      </c>
      <c r="C19" s="4">
        <v>420.67332537356452</v>
      </c>
      <c r="D19" s="4">
        <v>3829.3091105267536</v>
      </c>
      <c r="E19" s="4">
        <v>1314.795089711879</v>
      </c>
      <c r="F19" s="4">
        <v>687.98364672892433</v>
      </c>
      <c r="G19" s="11">
        <v>800</v>
      </c>
      <c r="H19" s="12">
        <v>5000</v>
      </c>
      <c r="I19" s="12">
        <v>3500</v>
      </c>
      <c r="J19" s="4">
        <v>8608.0290057513539</v>
      </c>
      <c r="K19" s="12">
        <v>5000</v>
      </c>
      <c r="L19" s="12">
        <v>500</v>
      </c>
      <c r="M19" s="12">
        <v>3000</v>
      </c>
      <c r="N19" s="123"/>
      <c r="O19" s="11">
        <f t="shared" si="0"/>
        <v>57660.79017809248</v>
      </c>
      <c r="Q19" s="56">
        <v>539</v>
      </c>
      <c r="R19" s="56"/>
    </row>
    <row r="20" spans="1:18" x14ac:dyDescent="0.25">
      <c r="A20" s="6">
        <v>1977</v>
      </c>
      <c r="B20" s="12">
        <v>70000</v>
      </c>
      <c r="C20" s="4">
        <v>5364.9703155564675</v>
      </c>
      <c r="D20" s="12">
        <v>20000</v>
      </c>
      <c r="E20" s="12">
        <v>13000</v>
      </c>
      <c r="F20" s="12">
        <v>20000</v>
      </c>
      <c r="G20" s="11">
        <v>27000</v>
      </c>
      <c r="H20" s="12">
        <v>50000</v>
      </c>
      <c r="I20" s="12">
        <v>105000</v>
      </c>
      <c r="J20" s="12">
        <v>150000</v>
      </c>
      <c r="K20" s="12">
        <v>30000</v>
      </c>
      <c r="L20" s="12">
        <v>120000</v>
      </c>
      <c r="M20" s="12">
        <v>125000</v>
      </c>
      <c r="N20" s="123">
        <v>17500</v>
      </c>
      <c r="O20" s="11">
        <f t="shared" si="0"/>
        <v>735364.97031555651</v>
      </c>
      <c r="Q20" s="56">
        <v>1595547</v>
      </c>
      <c r="R20" s="56"/>
    </row>
    <row r="21" spans="1:18" x14ac:dyDescent="0.25">
      <c r="A21" s="6">
        <v>1978</v>
      </c>
      <c r="B21" s="12">
        <v>48816</v>
      </c>
      <c r="C21" s="4">
        <v>781.34545768482462</v>
      </c>
      <c r="D21" s="12">
        <v>5500</v>
      </c>
      <c r="E21" s="12">
        <v>4000</v>
      </c>
      <c r="F21" s="12">
        <v>1000</v>
      </c>
      <c r="G21" s="11">
        <v>2500</v>
      </c>
      <c r="H21" s="12">
        <v>5000</v>
      </c>
      <c r="I21" s="12">
        <v>12000</v>
      </c>
      <c r="J21" s="12">
        <v>10000</v>
      </c>
      <c r="K21" s="12">
        <v>3500</v>
      </c>
      <c r="L21" s="12">
        <v>6000</v>
      </c>
      <c r="M21" s="12">
        <v>8000</v>
      </c>
      <c r="N21" s="123">
        <v>2000</v>
      </c>
      <c r="O21" s="11">
        <f t="shared" si="0"/>
        <v>107097.34545768483</v>
      </c>
      <c r="Q21" s="56">
        <v>20642</v>
      </c>
      <c r="R21" s="56"/>
    </row>
    <row r="22" spans="1:18" x14ac:dyDescent="0.25">
      <c r="A22" s="6">
        <v>1979</v>
      </c>
      <c r="B22" s="12">
        <v>55000</v>
      </c>
      <c r="C22" s="4">
        <v>3616.1360587800482</v>
      </c>
      <c r="D22" s="12">
        <v>5000</v>
      </c>
      <c r="E22" s="12">
        <v>2000</v>
      </c>
      <c r="F22" s="12">
        <v>4000</v>
      </c>
      <c r="G22" s="11">
        <v>10000</v>
      </c>
      <c r="H22" s="12">
        <v>10000</v>
      </c>
      <c r="I22" s="12">
        <v>45000</v>
      </c>
      <c r="J22" s="12">
        <v>110000</v>
      </c>
      <c r="K22" s="12">
        <v>4000</v>
      </c>
      <c r="L22" s="12">
        <v>100000</v>
      </c>
      <c r="M22" s="12">
        <v>155000</v>
      </c>
      <c r="N22" s="123">
        <v>5991</v>
      </c>
      <c r="O22" s="11">
        <f t="shared" si="0"/>
        <v>503616.13605878002</v>
      </c>
      <c r="Q22" s="56">
        <v>402235</v>
      </c>
      <c r="R22" s="56"/>
    </row>
    <row r="23" spans="1:18" x14ac:dyDescent="0.25">
      <c r="A23" s="6">
        <v>1980</v>
      </c>
      <c r="B23" s="12">
        <v>11850</v>
      </c>
      <c r="C23" s="12">
        <v>158</v>
      </c>
      <c r="D23" s="12">
        <v>3950</v>
      </c>
      <c r="E23" s="12">
        <v>395</v>
      </c>
      <c r="F23" s="12">
        <v>15</v>
      </c>
      <c r="G23" s="11">
        <v>4491</v>
      </c>
      <c r="H23" s="12">
        <v>553</v>
      </c>
      <c r="I23" s="12">
        <v>1817</v>
      </c>
      <c r="J23" s="4">
        <v>4411.9305804606711</v>
      </c>
      <c r="K23" s="12">
        <v>1185</v>
      </c>
      <c r="L23" s="12">
        <v>316</v>
      </c>
      <c r="M23" s="12">
        <v>3160</v>
      </c>
      <c r="N23" s="123">
        <v>2893</v>
      </c>
      <c r="O23" s="11">
        <f t="shared" si="0"/>
        <v>32301.93058046067</v>
      </c>
      <c r="Q23" s="56">
        <v>101</v>
      </c>
      <c r="R23" s="56"/>
    </row>
    <row r="24" spans="1:18" x14ac:dyDescent="0.25">
      <c r="A24" s="6">
        <v>1981</v>
      </c>
      <c r="B24" s="12">
        <v>62410</v>
      </c>
      <c r="C24" s="12">
        <v>237</v>
      </c>
      <c r="D24" s="12">
        <v>35550</v>
      </c>
      <c r="E24" s="12">
        <v>19750</v>
      </c>
      <c r="F24" s="12">
        <v>1580</v>
      </c>
      <c r="G24" s="11">
        <v>26000</v>
      </c>
      <c r="H24" s="12">
        <v>14220</v>
      </c>
      <c r="I24" s="12">
        <v>47400</v>
      </c>
      <c r="J24" s="12">
        <v>63200</v>
      </c>
      <c r="K24" s="12">
        <v>5925</v>
      </c>
      <c r="L24" s="12">
        <v>25280</v>
      </c>
      <c r="M24" s="12">
        <v>71100</v>
      </c>
      <c r="N24" s="123">
        <v>16000</v>
      </c>
      <c r="O24" s="11">
        <f t="shared" si="0"/>
        <v>372652</v>
      </c>
      <c r="Q24" s="56">
        <v>427974</v>
      </c>
      <c r="R24" s="56"/>
    </row>
    <row r="25" spans="1:18" x14ac:dyDescent="0.25">
      <c r="A25" s="6">
        <v>1982</v>
      </c>
      <c r="B25" s="12">
        <v>39500</v>
      </c>
      <c r="C25" s="12">
        <v>237</v>
      </c>
      <c r="D25" s="4">
        <v>7625.8987623051835</v>
      </c>
      <c r="E25" s="12">
        <v>3950</v>
      </c>
      <c r="F25" s="12">
        <v>790</v>
      </c>
      <c r="G25" s="11">
        <v>7000</v>
      </c>
      <c r="H25" s="12">
        <v>7110</v>
      </c>
      <c r="I25" s="12">
        <v>12640</v>
      </c>
      <c r="J25" s="12">
        <v>3950</v>
      </c>
      <c r="K25" s="12">
        <v>9480</v>
      </c>
      <c r="L25" s="12">
        <v>2686</v>
      </c>
      <c r="M25" s="12">
        <v>21330</v>
      </c>
      <c r="N25" s="123">
        <v>12000</v>
      </c>
      <c r="O25" s="11">
        <f t="shared" si="0"/>
        <v>116298.89876230518</v>
      </c>
      <c r="Q25" s="56">
        <v>15174</v>
      </c>
      <c r="R25" s="56"/>
    </row>
    <row r="26" spans="1:18" x14ac:dyDescent="0.25">
      <c r="A26" s="6">
        <v>1983</v>
      </c>
      <c r="B26" s="12">
        <v>63200</v>
      </c>
      <c r="C26" s="12">
        <v>2370</v>
      </c>
      <c r="D26" s="12">
        <v>11850</v>
      </c>
      <c r="E26" s="12">
        <v>7900</v>
      </c>
      <c r="F26" s="12">
        <v>2370</v>
      </c>
      <c r="G26" s="11">
        <v>18000</v>
      </c>
      <c r="H26" s="12">
        <v>9480</v>
      </c>
      <c r="I26" s="12">
        <v>30020</v>
      </c>
      <c r="J26" s="12">
        <v>27650</v>
      </c>
      <c r="K26" s="12">
        <v>6320</v>
      </c>
      <c r="L26" s="12">
        <v>16590</v>
      </c>
      <c r="M26" s="12">
        <v>79790</v>
      </c>
      <c r="N26" s="123">
        <v>21000</v>
      </c>
      <c r="O26" s="11">
        <f t="shared" si="0"/>
        <v>275540</v>
      </c>
      <c r="Q26" s="56">
        <v>304986</v>
      </c>
      <c r="R26" s="56"/>
    </row>
    <row r="27" spans="1:18" x14ac:dyDescent="0.25">
      <c r="A27" s="6">
        <v>1984</v>
      </c>
      <c r="B27" s="12">
        <v>45030</v>
      </c>
      <c r="C27" s="12">
        <v>1975</v>
      </c>
      <c r="D27" s="12">
        <v>55300</v>
      </c>
      <c r="E27" s="12">
        <v>11850</v>
      </c>
      <c r="F27" s="4">
        <v>2952.556700989056</v>
      </c>
      <c r="G27" s="11">
        <v>7000</v>
      </c>
      <c r="H27" s="12">
        <v>19750</v>
      </c>
      <c r="I27" s="12">
        <v>30020</v>
      </c>
      <c r="J27" s="12">
        <v>19750</v>
      </c>
      <c r="K27" s="12">
        <v>15800</v>
      </c>
      <c r="L27" s="12">
        <v>23700</v>
      </c>
      <c r="M27" s="12">
        <v>15800</v>
      </c>
      <c r="N27" s="123">
        <v>6000</v>
      </c>
      <c r="O27" s="11">
        <f t="shared" si="0"/>
        <v>248927.55670098905</v>
      </c>
      <c r="Q27" s="56">
        <v>254354</v>
      </c>
      <c r="R27" s="56"/>
    </row>
    <row r="28" spans="1:18" x14ac:dyDescent="0.25">
      <c r="A28" s="6">
        <v>1985</v>
      </c>
      <c r="B28" s="12">
        <v>118500</v>
      </c>
      <c r="C28" s="12">
        <v>5530</v>
      </c>
      <c r="D28" s="12">
        <v>86900</v>
      </c>
      <c r="E28" s="12">
        <v>31600</v>
      </c>
      <c r="F28" s="12">
        <v>7900</v>
      </c>
      <c r="G28" s="11">
        <v>22000</v>
      </c>
      <c r="H28" s="12">
        <v>12640</v>
      </c>
      <c r="I28" s="12">
        <v>67150</v>
      </c>
      <c r="J28" s="12">
        <v>63990</v>
      </c>
      <c r="K28" s="12">
        <v>12640</v>
      </c>
      <c r="L28" s="12">
        <v>30020</v>
      </c>
      <c r="M28" s="12">
        <v>79000</v>
      </c>
      <c r="N28" s="123">
        <v>11000</v>
      </c>
      <c r="O28" s="11">
        <f t="shared" si="0"/>
        <v>537870</v>
      </c>
      <c r="Q28" s="56">
        <v>1360116</v>
      </c>
      <c r="R28" s="56"/>
    </row>
    <row r="29" spans="1:18" x14ac:dyDescent="0.25">
      <c r="A29" s="6">
        <v>1986</v>
      </c>
      <c r="B29" s="12">
        <v>33970</v>
      </c>
      <c r="C29" s="12">
        <v>1185</v>
      </c>
      <c r="D29" s="12">
        <v>2370</v>
      </c>
      <c r="E29" s="12">
        <v>3160</v>
      </c>
      <c r="F29" s="12">
        <v>790</v>
      </c>
      <c r="G29" s="11">
        <v>7011</v>
      </c>
      <c r="H29" s="12">
        <v>1580</v>
      </c>
      <c r="I29" s="12">
        <v>5530</v>
      </c>
      <c r="J29" s="4">
        <v>14224.826823865691</v>
      </c>
      <c r="K29" s="12">
        <v>3160</v>
      </c>
      <c r="L29" s="12">
        <v>1580</v>
      </c>
      <c r="M29" s="12">
        <v>22120</v>
      </c>
      <c r="N29" s="123">
        <v>10000</v>
      </c>
      <c r="O29" s="11">
        <f t="shared" si="0"/>
        <v>96680.826823865689</v>
      </c>
      <c r="Q29" s="56">
        <v>34340</v>
      </c>
      <c r="R29" s="56"/>
    </row>
    <row r="30" spans="1:18" x14ac:dyDescent="0.25">
      <c r="A30" s="6">
        <v>1987</v>
      </c>
      <c r="B30" s="12">
        <v>11850</v>
      </c>
      <c r="C30" s="12">
        <v>790</v>
      </c>
      <c r="D30" s="12">
        <v>9480</v>
      </c>
      <c r="E30" s="12">
        <v>1580</v>
      </c>
      <c r="F30" s="12">
        <v>4740</v>
      </c>
      <c r="G30" s="11">
        <v>8937</v>
      </c>
      <c r="H30" s="12">
        <v>237</v>
      </c>
      <c r="I30" s="12">
        <v>3160</v>
      </c>
      <c r="J30" s="12">
        <v>10665</v>
      </c>
      <c r="K30" s="12">
        <v>5530</v>
      </c>
      <c r="L30" s="12">
        <v>26070</v>
      </c>
      <c r="M30" s="12">
        <v>23700</v>
      </c>
      <c r="N30" s="123">
        <v>3000</v>
      </c>
      <c r="O30" s="11">
        <f t="shared" si="0"/>
        <v>106739</v>
      </c>
      <c r="Q30" s="56">
        <v>8894</v>
      </c>
      <c r="R30" s="56"/>
    </row>
    <row r="31" spans="1:18" x14ac:dyDescent="0.25">
      <c r="A31" s="6">
        <v>1988</v>
      </c>
      <c r="B31" s="12">
        <v>3160</v>
      </c>
      <c r="C31" s="4">
        <v>77.703443154475593</v>
      </c>
      <c r="D31" s="12">
        <v>395</v>
      </c>
      <c r="E31" s="12">
        <v>79</v>
      </c>
      <c r="F31" s="12">
        <v>553</v>
      </c>
      <c r="G31" s="11">
        <v>3536</v>
      </c>
      <c r="H31" s="4">
        <v>612.08508076385488</v>
      </c>
      <c r="I31" s="12">
        <v>118</v>
      </c>
      <c r="J31" s="4">
        <v>1590.0069078958243</v>
      </c>
      <c r="K31" s="4">
        <v>335.34129442528433</v>
      </c>
      <c r="L31" s="4">
        <v>1098.8468577129215</v>
      </c>
      <c r="M31" s="4">
        <v>2003.5308362579756</v>
      </c>
      <c r="N31" s="123">
        <v>1651</v>
      </c>
      <c r="O31" s="11">
        <f t="shared" si="0"/>
        <v>13558.514420210338</v>
      </c>
      <c r="Q31" s="56">
        <v>2101</v>
      </c>
      <c r="R31" s="56"/>
    </row>
    <row r="32" spans="1:18" x14ac:dyDescent="0.25">
      <c r="A32" s="6">
        <v>1989</v>
      </c>
      <c r="B32" s="12">
        <v>237</v>
      </c>
      <c r="C32" s="4">
        <v>94.833023852120263</v>
      </c>
      <c r="D32" s="4">
        <v>863.24694284588918</v>
      </c>
      <c r="E32" s="4">
        <v>296.39624507605828</v>
      </c>
      <c r="F32" s="4">
        <v>155.09319375674005</v>
      </c>
      <c r="G32" s="11">
        <v>9345</v>
      </c>
      <c r="H32" s="12">
        <v>869</v>
      </c>
      <c r="I32" s="12">
        <v>2370</v>
      </c>
      <c r="J32" s="12">
        <v>5530</v>
      </c>
      <c r="K32" s="12">
        <v>632</v>
      </c>
      <c r="L32" s="12">
        <v>395</v>
      </c>
      <c r="M32" s="12">
        <v>790</v>
      </c>
      <c r="N32" s="123"/>
      <c r="O32" s="11">
        <f t="shared" si="0"/>
        <v>21577.569405530809</v>
      </c>
      <c r="Q32" s="56">
        <v>49</v>
      </c>
      <c r="R32" s="56"/>
    </row>
    <row r="33" spans="1:18" x14ac:dyDescent="0.25">
      <c r="A33" s="6">
        <v>1990</v>
      </c>
      <c r="B33" s="12">
        <v>3160</v>
      </c>
      <c r="C33" s="12">
        <v>237</v>
      </c>
      <c r="D33" s="4">
        <v>793.17483920693701</v>
      </c>
      <c r="E33" s="4">
        <v>272.33695523288179</v>
      </c>
      <c r="F33" s="12">
        <v>79</v>
      </c>
      <c r="G33" s="11">
        <v>6318</v>
      </c>
      <c r="H33" s="4">
        <v>686.38061440371507</v>
      </c>
      <c r="I33" s="12">
        <v>790</v>
      </c>
      <c r="J33" s="12">
        <v>1580</v>
      </c>
      <c r="K33" s="12">
        <v>39</v>
      </c>
      <c r="L33" s="4">
        <v>1232.2260468702682</v>
      </c>
      <c r="M33" s="12">
        <v>2370</v>
      </c>
      <c r="N33" s="123">
        <v>1750</v>
      </c>
      <c r="O33" s="11">
        <f t="shared" si="0"/>
        <v>17557.118455713804</v>
      </c>
      <c r="Q33" s="56">
        <v>235</v>
      </c>
      <c r="R33" s="56"/>
    </row>
    <row r="34" spans="1:18" x14ac:dyDescent="0.25">
      <c r="A34" s="6">
        <v>1991</v>
      </c>
      <c r="B34" s="12">
        <v>9480</v>
      </c>
      <c r="C34" s="12">
        <v>395</v>
      </c>
      <c r="D34" s="12">
        <v>1580</v>
      </c>
      <c r="E34" s="12">
        <v>395</v>
      </c>
      <c r="F34" s="12">
        <v>2370</v>
      </c>
      <c r="G34" s="11">
        <v>4000</v>
      </c>
      <c r="H34" s="12">
        <v>3950</v>
      </c>
      <c r="I34" s="12">
        <v>11850</v>
      </c>
      <c r="J34" s="12">
        <v>5530</v>
      </c>
      <c r="K34" s="12">
        <v>5530</v>
      </c>
      <c r="L34" s="4">
        <v>5816.4651908224841</v>
      </c>
      <c r="M34" s="12">
        <v>6320</v>
      </c>
      <c r="N34" s="123"/>
      <c r="O34" s="11">
        <f t="shared" si="0"/>
        <v>57216.465190822484</v>
      </c>
      <c r="Q34" s="56">
        <v>293</v>
      </c>
      <c r="R34" s="56"/>
    </row>
    <row r="35" spans="1:18" x14ac:dyDescent="0.25">
      <c r="A35" s="6">
        <v>1992</v>
      </c>
      <c r="B35" s="12">
        <v>8000</v>
      </c>
      <c r="C35" s="12">
        <v>237</v>
      </c>
      <c r="D35" s="12">
        <v>1185</v>
      </c>
      <c r="E35" s="4">
        <v>539.17070414897069</v>
      </c>
      <c r="F35" s="12">
        <v>39</v>
      </c>
      <c r="G35" s="11">
        <v>11140</v>
      </c>
      <c r="H35" s="4">
        <v>1358.8913001680155</v>
      </c>
      <c r="I35" s="12">
        <v>4740</v>
      </c>
      <c r="J35" s="12">
        <v>2765</v>
      </c>
      <c r="K35" s="12">
        <v>158</v>
      </c>
      <c r="L35" s="4">
        <v>2439.5520790685791</v>
      </c>
      <c r="M35" s="12">
        <v>790</v>
      </c>
      <c r="N35" s="123"/>
      <c r="O35" s="11">
        <f t="shared" ref="O35:O59" si="1">SUM(B35:M35)</f>
        <v>33391.614083385568</v>
      </c>
      <c r="Q35" s="56">
        <v>1954</v>
      </c>
      <c r="R35" s="56"/>
    </row>
    <row r="36" spans="1:18" x14ac:dyDescent="0.25">
      <c r="A36" s="6">
        <v>1993</v>
      </c>
      <c r="B36" s="12">
        <v>3160</v>
      </c>
      <c r="C36" s="4">
        <v>141.62506344348895</v>
      </c>
      <c r="D36" s="12">
        <v>790</v>
      </c>
      <c r="E36" s="12">
        <v>79</v>
      </c>
      <c r="F36" s="4">
        <v>231.61850706778051</v>
      </c>
      <c r="G36" s="11">
        <v>5000</v>
      </c>
      <c r="H36" s="12">
        <v>2370</v>
      </c>
      <c r="I36" s="12">
        <v>3950</v>
      </c>
      <c r="J36" s="12">
        <v>1580</v>
      </c>
      <c r="K36" s="12">
        <v>1580</v>
      </c>
      <c r="L36" s="12">
        <v>395</v>
      </c>
      <c r="M36" s="12">
        <v>1185</v>
      </c>
      <c r="N36" s="123">
        <v>800</v>
      </c>
      <c r="O36" s="11">
        <f t="shared" si="1"/>
        <v>20462.243570511269</v>
      </c>
      <c r="Q36" s="56">
        <v>59073</v>
      </c>
      <c r="R36" s="56"/>
    </row>
    <row r="37" spans="1:18" x14ac:dyDescent="0.25">
      <c r="A37" s="6">
        <v>1994</v>
      </c>
      <c r="B37" s="12">
        <v>71100</v>
      </c>
      <c r="C37" s="12">
        <v>2370</v>
      </c>
      <c r="D37" s="12">
        <v>11850</v>
      </c>
      <c r="E37" s="12">
        <v>3160</v>
      </c>
      <c r="F37" s="12">
        <v>158</v>
      </c>
      <c r="G37" s="11">
        <v>27954</v>
      </c>
      <c r="H37" s="12">
        <v>15800</v>
      </c>
      <c r="I37" s="12">
        <v>34760</v>
      </c>
      <c r="J37" s="12">
        <v>39500</v>
      </c>
      <c r="K37" s="12">
        <v>7110</v>
      </c>
      <c r="L37" s="12">
        <v>15010</v>
      </c>
      <c r="M37" s="12">
        <v>54000</v>
      </c>
      <c r="N37" s="123">
        <v>55000</v>
      </c>
      <c r="O37" s="11">
        <f t="shared" si="1"/>
        <v>282772</v>
      </c>
      <c r="Q37" s="56">
        <v>218905</v>
      </c>
      <c r="R37" s="56"/>
    </row>
    <row r="38" spans="1:18" x14ac:dyDescent="0.25">
      <c r="A38" s="6">
        <v>1995</v>
      </c>
      <c r="B38" s="12">
        <v>66000</v>
      </c>
      <c r="C38" s="12">
        <v>1500</v>
      </c>
      <c r="D38" s="12">
        <v>12000</v>
      </c>
      <c r="E38" s="12">
        <v>1500</v>
      </c>
      <c r="F38" s="4">
        <v>2775.660090081461</v>
      </c>
      <c r="G38" s="11">
        <v>7000</v>
      </c>
      <c r="H38" s="12">
        <v>30000</v>
      </c>
      <c r="I38" s="12">
        <v>49000</v>
      </c>
      <c r="J38" s="12">
        <v>14000</v>
      </c>
      <c r="K38" s="12">
        <v>9000</v>
      </c>
      <c r="L38" s="12">
        <v>18000</v>
      </c>
      <c r="M38" s="12">
        <v>22000</v>
      </c>
      <c r="N38" s="123">
        <v>14000</v>
      </c>
      <c r="O38" s="11">
        <f t="shared" si="1"/>
        <v>232775.66009008145</v>
      </c>
      <c r="Q38" s="56">
        <v>30243</v>
      </c>
      <c r="R38" s="56"/>
    </row>
    <row r="39" spans="1:18" x14ac:dyDescent="0.25">
      <c r="A39" s="6">
        <v>1996</v>
      </c>
      <c r="B39" s="12">
        <v>160000</v>
      </c>
      <c r="C39" s="12">
        <v>8000</v>
      </c>
      <c r="D39" s="12">
        <v>40000</v>
      </c>
      <c r="E39" s="12">
        <v>18000</v>
      </c>
      <c r="F39" s="4">
        <v>8267.9236710292771</v>
      </c>
      <c r="G39" s="11">
        <v>40000</v>
      </c>
      <c r="H39" s="12">
        <v>46000</v>
      </c>
      <c r="I39" s="12">
        <v>84000</v>
      </c>
      <c r="J39" s="12">
        <v>111000</v>
      </c>
      <c r="K39" s="12">
        <v>25000</v>
      </c>
      <c r="L39" s="12">
        <v>43000</v>
      </c>
      <c r="M39" s="12">
        <v>110000</v>
      </c>
      <c r="N39" s="123">
        <v>185000</v>
      </c>
      <c r="O39" s="11">
        <f t="shared" si="1"/>
        <v>693267.92367102928</v>
      </c>
      <c r="Q39" s="56">
        <v>1265125</v>
      </c>
      <c r="R39" s="56"/>
    </row>
    <row r="40" spans="1:18" x14ac:dyDescent="0.25">
      <c r="A40" s="6">
        <v>1997</v>
      </c>
      <c r="B40" s="12">
        <v>97000</v>
      </c>
      <c r="C40" s="12">
        <v>4500</v>
      </c>
      <c r="D40" s="12">
        <v>62000</v>
      </c>
      <c r="E40" s="12">
        <v>3600</v>
      </c>
      <c r="F40" s="12">
        <v>300</v>
      </c>
      <c r="G40" s="11">
        <v>165000</v>
      </c>
      <c r="H40" s="12">
        <v>50000</v>
      </c>
      <c r="I40" s="12">
        <v>160000</v>
      </c>
      <c r="J40" s="12">
        <v>145000</v>
      </c>
      <c r="K40" s="12">
        <v>32000</v>
      </c>
      <c r="L40" s="12">
        <v>125000</v>
      </c>
      <c r="M40" s="12">
        <v>185000</v>
      </c>
      <c r="N40" s="123">
        <v>260000</v>
      </c>
      <c r="O40" s="11">
        <f t="shared" si="1"/>
        <v>1029400</v>
      </c>
      <c r="Q40" s="56">
        <v>2177750</v>
      </c>
      <c r="R40" s="56"/>
    </row>
    <row r="41" spans="1:18" x14ac:dyDescent="0.25">
      <c r="A41" s="7">
        <v>1998</v>
      </c>
      <c r="B41" s="5">
        <v>53000</v>
      </c>
      <c r="C41" s="5">
        <v>3000</v>
      </c>
      <c r="D41" s="5">
        <v>115000</v>
      </c>
      <c r="E41" s="5">
        <v>37000</v>
      </c>
      <c r="F41" s="5">
        <v>65000</v>
      </c>
      <c r="G41" s="11">
        <v>95000</v>
      </c>
      <c r="H41" s="5">
        <v>25000</v>
      </c>
      <c r="I41" s="5">
        <v>70000</v>
      </c>
      <c r="J41" s="5">
        <v>150000</v>
      </c>
      <c r="K41" s="5">
        <v>13000</v>
      </c>
      <c r="L41" s="5">
        <v>180000</v>
      </c>
      <c r="M41" s="5">
        <v>500000</v>
      </c>
      <c r="N41" s="123">
        <v>66000</v>
      </c>
      <c r="O41" s="11">
        <f t="shared" si="1"/>
        <v>1306000</v>
      </c>
      <c r="Q41" s="56">
        <v>4280073</v>
      </c>
      <c r="R41" s="56"/>
    </row>
    <row r="42" spans="1:18" x14ac:dyDescent="0.25">
      <c r="A42" s="8">
        <v>1999</v>
      </c>
      <c r="B42" s="5">
        <v>120000</v>
      </c>
      <c r="C42" s="5">
        <v>5000</v>
      </c>
      <c r="D42" s="5">
        <v>230000</v>
      </c>
      <c r="E42" s="5">
        <v>4000</v>
      </c>
      <c r="F42" s="5">
        <v>1200</v>
      </c>
      <c r="G42" s="11">
        <v>39000</v>
      </c>
      <c r="H42" s="5">
        <v>17000</v>
      </c>
      <c r="I42" s="5">
        <v>38000</v>
      </c>
      <c r="J42" s="5">
        <v>290000</v>
      </c>
      <c r="K42" s="5">
        <v>40000</v>
      </c>
      <c r="L42" s="5">
        <v>360000</v>
      </c>
      <c r="M42" s="5">
        <v>436000</v>
      </c>
      <c r="N42" s="123">
        <v>160000</v>
      </c>
      <c r="O42" s="11">
        <f t="shared" si="1"/>
        <v>1580200</v>
      </c>
      <c r="Q42" s="56">
        <v>999677</v>
      </c>
      <c r="R42" s="56"/>
    </row>
    <row r="43" spans="1:18" x14ac:dyDescent="0.25">
      <c r="A43" s="8">
        <v>2000</v>
      </c>
      <c r="B43" s="5">
        <v>32000</v>
      </c>
      <c r="C43" s="5">
        <v>6000</v>
      </c>
      <c r="D43" s="5">
        <v>34000</v>
      </c>
      <c r="E43" s="5">
        <v>55100</v>
      </c>
      <c r="F43" s="4">
        <v>7693.5283112395555</v>
      </c>
      <c r="G43" s="11">
        <v>25000</v>
      </c>
      <c r="H43" s="4">
        <v>22320.49455472839</v>
      </c>
      <c r="I43" s="5">
        <v>76000</v>
      </c>
      <c r="J43" s="5">
        <v>170000</v>
      </c>
      <c r="K43" s="5">
        <v>20000</v>
      </c>
      <c r="L43" s="5">
        <v>21000</v>
      </c>
      <c r="M43" s="5">
        <v>29000</v>
      </c>
      <c r="N43" s="123">
        <v>85000</v>
      </c>
      <c r="O43" s="11">
        <f t="shared" si="1"/>
        <v>498114.02286596794</v>
      </c>
      <c r="Q43" s="56">
        <v>856011</v>
      </c>
      <c r="R43" s="56"/>
    </row>
    <row r="44" spans="1:18" x14ac:dyDescent="0.25">
      <c r="A44" s="8">
        <v>2001</v>
      </c>
      <c r="B44" s="5">
        <v>84000</v>
      </c>
      <c r="C44" s="5">
        <v>26000</v>
      </c>
      <c r="D44" s="5">
        <v>71000</v>
      </c>
      <c r="E44" s="5">
        <v>17000</v>
      </c>
      <c r="F44" s="5">
        <v>6000</v>
      </c>
      <c r="G44" s="11">
        <v>26000</v>
      </c>
      <c r="H44" s="5">
        <v>38000</v>
      </c>
      <c r="I44" s="5">
        <v>38000</v>
      </c>
      <c r="J44" s="5">
        <v>96000</v>
      </c>
      <c r="K44" s="5">
        <v>31000</v>
      </c>
      <c r="L44" s="5">
        <v>68000</v>
      </c>
      <c r="M44" s="5">
        <v>162000</v>
      </c>
      <c r="N44" s="123">
        <v>90000</v>
      </c>
      <c r="O44" s="11">
        <f t="shared" si="1"/>
        <v>663000</v>
      </c>
      <c r="P44" s="65"/>
      <c r="Q44" s="56">
        <v>326983</v>
      </c>
      <c r="R44" s="56"/>
    </row>
    <row r="45" spans="1:18" x14ac:dyDescent="0.25">
      <c r="A45" s="9">
        <v>2002</v>
      </c>
      <c r="B45" s="5">
        <v>125000</v>
      </c>
      <c r="C45" s="5">
        <v>10000</v>
      </c>
      <c r="D45" s="5">
        <v>144000</v>
      </c>
      <c r="E45" s="5">
        <v>65000</v>
      </c>
      <c r="F45" s="5">
        <v>10000</v>
      </c>
      <c r="G45" s="11">
        <v>48633</v>
      </c>
      <c r="H45" s="5">
        <v>32200</v>
      </c>
      <c r="I45" s="5">
        <v>58000</v>
      </c>
      <c r="J45" s="5">
        <v>107690</v>
      </c>
      <c r="K45" s="5">
        <v>18150</v>
      </c>
      <c r="L45" s="5">
        <v>182710</v>
      </c>
      <c r="M45" s="5">
        <v>146410</v>
      </c>
      <c r="N45" s="123">
        <v>68000</v>
      </c>
      <c r="O45" s="11">
        <f t="shared" si="1"/>
        <v>947793</v>
      </c>
      <c r="Q45" s="56">
        <v>1785866</v>
      </c>
      <c r="R45" s="56"/>
    </row>
    <row r="46" spans="1:18" x14ac:dyDescent="0.25">
      <c r="A46" s="9">
        <v>2003</v>
      </c>
      <c r="B46" s="5">
        <v>149000</v>
      </c>
      <c r="C46" s="5">
        <v>35100</v>
      </c>
      <c r="D46" s="5">
        <v>140000</v>
      </c>
      <c r="E46" s="5">
        <v>30420</v>
      </c>
      <c r="F46" s="4">
        <v>22528.690391832912</v>
      </c>
      <c r="G46" s="11">
        <v>100000</v>
      </c>
      <c r="H46" s="5">
        <v>81900</v>
      </c>
      <c r="I46" s="5">
        <v>156000</v>
      </c>
      <c r="J46" s="5">
        <v>187200</v>
      </c>
      <c r="K46" s="5">
        <v>35100</v>
      </c>
      <c r="L46" s="5">
        <v>210000</v>
      </c>
      <c r="M46" s="5">
        <v>403650</v>
      </c>
      <c r="N46" s="123">
        <v>270000</v>
      </c>
      <c r="O46" s="11">
        <f t="shared" si="1"/>
        <v>1550898.690391833</v>
      </c>
      <c r="Q46" s="56">
        <v>781946</v>
      </c>
      <c r="R46" s="56"/>
    </row>
    <row r="47" spans="1:18" x14ac:dyDescent="0.25">
      <c r="A47" s="8">
        <v>2004</v>
      </c>
      <c r="B47" s="13">
        <v>48000</v>
      </c>
      <c r="C47" s="5">
        <v>30000</v>
      </c>
      <c r="D47" s="13">
        <v>111000</v>
      </c>
      <c r="E47" s="13">
        <v>25000</v>
      </c>
      <c r="F47" s="13">
        <v>18000</v>
      </c>
      <c r="G47" s="11">
        <v>61000</v>
      </c>
      <c r="H47" s="5">
        <v>50000</v>
      </c>
      <c r="I47" s="5">
        <v>55000</v>
      </c>
      <c r="J47" s="13">
        <v>123000</v>
      </c>
      <c r="K47" s="5">
        <v>50000</v>
      </c>
      <c r="L47" s="13">
        <v>158000</v>
      </c>
      <c r="M47" s="13">
        <v>118000</v>
      </c>
      <c r="N47" s="123">
        <v>73000</v>
      </c>
      <c r="O47" s="11">
        <f t="shared" si="1"/>
        <v>847000</v>
      </c>
      <c r="Q47" s="56">
        <v>634700</v>
      </c>
      <c r="R47" s="56"/>
    </row>
    <row r="48" spans="1:18" ht="13.8" thickBot="1" x14ac:dyDescent="0.3">
      <c r="A48" s="8">
        <v>2005</v>
      </c>
      <c r="B48" s="5">
        <v>85000</v>
      </c>
      <c r="C48" s="5">
        <v>13000</v>
      </c>
      <c r="D48" s="5">
        <v>146000</v>
      </c>
      <c r="E48" s="5">
        <v>32000</v>
      </c>
      <c r="F48" s="5">
        <v>33000</v>
      </c>
      <c r="G48" s="11">
        <v>65000</v>
      </c>
      <c r="H48" s="5">
        <v>80000</v>
      </c>
      <c r="I48" s="5">
        <v>142000</v>
      </c>
      <c r="J48" s="5">
        <v>159000</v>
      </c>
      <c r="K48" s="5">
        <v>46000</v>
      </c>
      <c r="L48" s="20">
        <v>545000</v>
      </c>
      <c r="M48" s="5">
        <v>128000</v>
      </c>
      <c r="N48" s="123">
        <v>376200</v>
      </c>
      <c r="O48" s="11">
        <f t="shared" si="1"/>
        <v>1474000</v>
      </c>
      <c r="Q48" s="56">
        <v>2473762</v>
      </c>
      <c r="R48" s="56"/>
    </row>
    <row r="49" spans="1:20" x14ac:dyDescent="0.25">
      <c r="A49" s="9">
        <v>2006</v>
      </c>
      <c r="B49" s="11">
        <v>58000</v>
      </c>
      <c r="C49" s="19">
        <v>7876.6681038290417</v>
      </c>
      <c r="D49" s="11">
        <v>95000</v>
      </c>
      <c r="E49" s="11">
        <v>14000</v>
      </c>
      <c r="F49" s="11">
        <v>12000</v>
      </c>
      <c r="G49" s="11">
        <v>75000</v>
      </c>
      <c r="H49" s="11">
        <v>31000</v>
      </c>
      <c r="I49" s="11">
        <v>30000</v>
      </c>
      <c r="J49" s="11">
        <v>87000</v>
      </c>
      <c r="K49" s="11">
        <v>47000</v>
      </c>
      <c r="L49" s="11">
        <v>110000</v>
      </c>
      <c r="M49" s="11">
        <v>128000</v>
      </c>
      <c r="N49" s="123">
        <v>46000</v>
      </c>
      <c r="O49" s="11">
        <f t="shared" si="1"/>
        <v>694876.66810382903</v>
      </c>
      <c r="Q49" s="56">
        <v>1001507</v>
      </c>
      <c r="R49" s="56"/>
      <c r="S49" s="192" t="s">
        <v>289</v>
      </c>
      <c r="T49" s="193"/>
    </row>
    <row r="50" spans="1:20" ht="13.8" thickBot="1" x14ac:dyDescent="0.3">
      <c r="A50" s="9">
        <v>2007</v>
      </c>
      <c r="B50" s="11">
        <v>51000</v>
      </c>
      <c r="C50" s="11">
        <v>14000</v>
      </c>
      <c r="D50" s="11">
        <v>71000</v>
      </c>
      <c r="E50" s="11">
        <v>35000</v>
      </c>
      <c r="F50" s="11">
        <v>26000</v>
      </c>
      <c r="G50" s="11">
        <v>110000</v>
      </c>
      <c r="H50" s="11">
        <v>41000</v>
      </c>
      <c r="I50" s="11">
        <v>42000</v>
      </c>
      <c r="J50" s="11">
        <v>78000</v>
      </c>
      <c r="K50" s="11">
        <v>28000</v>
      </c>
      <c r="L50" s="11">
        <v>124000</v>
      </c>
      <c r="M50" s="11">
        <v>47000</v>
      </c>
      <c r="N50" s="123">
        <v>75600</v>
      </c>
      <c r="O50" s="11">
        <f t="shared" si="1"/>
        <v>667000</v>
      </c>
      <c r="Q50" s="56">
        <v>561143</v>
      </c>
      <c r="R50" s="56"/>
      <c r="S50" s="50">
        <v>210000</v>
      </c>
      <c r="T50" s="51">
        <v>500000</v>
      </c>
    </row>
    <row r="51" spans="1:20" ht="13.8" thickBot="1" x14ac:dyDescent="0.3">
      <c r="A51" s="48">
        <v>2008</v>
      </c>
      <c r="B51" s="11">
        <v>54000</v>
      </c>
      <c r="C51" s="11">
        <v>6000</v>
      </c>
      <c r="D51" s="11">
        <v>74000</v>
      </c>
      <c r="E51" s="11">
        <v>28000</v>
      </c>
      <c r="F51" s="11">
        <v>23000</v>
      </c>
      <c r="G51" s="11">
        <v>38000</v>
      </c>
      <c r="H51" s="11">
        <v>18000</v>
      </c>
      <c r="I51" s="11">
        <v>24000</v>
      </c>
      <c r="J51" s="11">
        <v>104000</v>
      </c>
      <c r="K51" s="11">
        <v>48000</v>
      </c>
      <c r="L51" s="11">
        <v>120000</v>
      </c>
      <c r="M51" s="11">
        <v>94000</v>
      </c>
      <c r="N51" s="123">
        <v>75000</v>
      </c>
      <c r="O51" s="11">
        <f t="shared" si="1"/>
        <v>631000</v>
      </c>
      <c r="Q51" s="56">
        <v>1147233</v>
      </c>
      <c r="R51" s="56"/>
      <c r="S51" s="175">
        <v>210000</v>
      </c>
      <c r="T51" s="176">
        <v>700000</v>
      </c>
    </row>
    <row r="52" spans="1:20" x14ac:dyDescent="0.25">
      <c r="A52" s="48">
        <v>2009</v>
      </c>
      <c r="B52" s="11">
        <v>33000</v>
      </c>
      <c r="C52" s="11">
        <v>10000</v>
      </c>
      <c r="D52" s="11">
        <v>44000</v>
      </c>
      <c r="E52" s="11">
        <v>15000</v>
      </c>
      <c r="F52" s="11">
        <v>43000</v>
      </c>
      <c r="G52" s="11">
        <v>48000</v>
      </c>
      <c r="H52" s="11">
        <v>22000</v>
      </c>
      <c r="I52" s="11">
        <v>28000</v>
      </c>
      <c r="J52" s="11">
        <v>114000</v>
      </c>
      <c r="K52" s="11">
        <v>40000</v>
      </c>
      <c r="L52" s="11">
        <v>193000</v>
      </c>
      <c r="M52" s="11">
        <v>99000</v>
      </c>
      <c r="N52" s="123">
        <v>87400</v>
      </c>
      <c r="O52" s="11">
        <f t="shared" si="1"/>
        <v>689000</v>
      </c>
      <c r="Q52" s="56">
        <v>169345</v>
      </c>
      <c r="R52" s="56"/>
    </row>
    <row r="53" spans="1:20" x14ac:dyDescent="0.25">
      <c r="A53" s="48">
        <v>2010</v>
      </c>
      <c r="B53" s="11">
        <v>55000</v>
      </c>
      <c r="C53" s="11">
        <v>9000</v>
      </c>
      <c r="D53" s="11">
        <v>54000</v>
      </c>
      <c r="E53" s="11">
        <v>21000</v>
      </c>
      <c r="F53" s="11">
        <v>38000</v>
      </c>
      <c r="G53" s="11">
        <v>65000</v>
      </c>
      <c r="H53" s="11">
        <v>12000</v>
      </c>
      <c r="I53" s="11">
        <v>22000</v>
      </c>
      <c r="J53" s="11">
        <v>75000</v>
      </c>
      <c r="K53" s="11">
        <v>25000</v>
      </c>
      <c r="L53" s="11">
        <v>231000</v>
      </c>
      <c r="M53" s="11">
        <v>107000</v>
      </c>
      <c r="N53" s="123">
        <v>91000</v>
      </c>
      <c r="O53" s="11">
        <f t="shared" si="1"/>
        <v>714000</v>
      </c>
      <c r="Q53" s="56">
        <v>766577</v>
      </c>
      <c r="R53" s="56"/>
    </row>
    <row r="54" spans="1:20" x14ac:dyDescent="0.25">
      <c r="A54" s="48">
        <v>2011</v>
      </c>
      <c r="B54" s="11">
        <v>65000</v>
      </c>
      <c r="C54" s="11">
        <v>27000</v>
      </c>
      <c r="D54" s="11">
        <v>93000</v>
      </c>
      <c r="E54" s="11">
        <v>73000</v>
      </c>
      <c r="F54" s="13">
        <v>30000</v>
      </c>
      <c r="G54" s="11">
        <v>35000</v>
      </c>
      <c r="H54" s="11">
        <v>32000</v>
      </c>
      <c r="I54" s="11">
        <v>105000</v>
      </c>
      <c r="J54" s="11">
        <v>134000</v>
      </c>
      <c r="K54" s="11">
        <v>51000</v>
      </c>
      <c r="L54" s="11">
        <v>208000</v>
      </c>
      <c r="M54" s="11">
        <v>82000</v>
      </c>
      <c r="N54" s="123">
        <v>127000</v>
      </c>
      <c r="O54" s="11">
        <f t="shared" si="1"/>
        <v>935000</v>
      </c>
      <c r="Q54" s="56">
        <v>1565993</v>
      </c>
      <c r="R54" s="56"/>
    </row>
    <row r="55" spans="1:20" x14ac:dyDescent="0.25">
      <c r="A55" s="48">
        <v>2012</v>
      </c>
      <c r="B55" s="90">
        <v>45000</v>
      </c>
      <c r="C55" s="90">
        <v>12000</v>
      </c>
      <c r="D55" s="90">
        <v>108000</v>
      </c>
      <c r="E55" s="90">
        <v>30000</v>
      </c>
      <c r="F55" s="91">
        <v>11000</v>
      </c>
      <c r="G55" s="90">
        <v>37000</v>
      </c>
      <c r="H55" s="90">
        <v>34000</v>
      </c>
      <c r="I55" s="90">
        <v>44000</v>
      </c>
      <c r="J55" s="90">
        <v>81000</v>
      </c>
      <c r="K55" s="90">
        <v>31000</v>
      </c>
      <c r="L55" s="90">
        <v>202000</v>
      </c>
      <c r="M55" s="90">
        <v>105000</v>
      </c>
      <c r="N55" s="124">
        <v>165000</v>
      </c>
      <c r="O55" s="90">
        <f t="shared" si="1"/>
        <v>740000</v>
      </c>
      <c r="Q55" s="56">
        <v>905373</v>
      </c>
      <c r="R55" s="56"/>
    </row>
    <row r="56" spans="1:20" x14ac:dyDescent="0.25">
      <c r="A56" s="48">
        <v>2013</v>
      </c>
      <c r="B56" s="90">
        <v>130000</v>
      </c>
      <c r="C56" s="90">
        <v>40000</v>
      </c>
      <c r="D56" s="90">
        <v>221000</v>
      </c>
      <c r="E56" s="90">
        <v>62000</v>
      </c>
      <c r="F56" s="91">
        <v>11000</v>
      </c>
      <c r="G56" s="90">
        <v>78000</v>
      </c>
      <c r="H56" s="90">
        <v>86000</v>
      </c>
      <c r="I56" s="90">
        <v>76000</v>
      </c>
      <c r="J56" s="90">
        <v>205000</v>
      </c>
      <c r="K56" s="90">
        <v>60000</v>
      </c>
      <c r="L56" s="90">
        <v>310000</v>
      </c>
      <c r="M56" s="90">
        <v>134000</v>
      </c>
      <c r="N56" s="124">
        <v>295000</v>
      </c>
      <c r="O56" s="90">
        <f t="shared" si="1"/>
        <v>1413000</v>
      </c>
      <c r="Q56" s="56">
        <v>2637282</v>
      </c>
      <c r="R56" s="56"/>
      <c r="S56">
        <f>O56/T51</f>
        <v>2.0185714285714287</v>
      </c>
    </row>
    <row r="57" spans="1:20" x14ac:dyDescent="0.25">
      <c r="A57" s="48">
        <v>2014</v>
      </c>
      <c r="B57" s="90">
        <v>60000</v>
      </c>
      <c r="C57" s="90">
        <v>18000</v>
      </c>
      <c r="D57" s="90">
        <v>100000</v>
      </c>
      <c r="E57" s="90">
        <v>25000</v>
      </c>
      <c r="F57" s="91">
        <v>20000</v>
      </c>
      <c r="G57" s="90">
        <v>30000</v>
      </c>
      <c r="H57" s="90">
        <v>15000</v>
      </c>
      <c r="I57" s="90">
        <v>37000</v>
      </c>
      <c r="J57" s="90">
        <v>75000</v>
      </c>
      <c r="K57" s="90">
        <v>40000</v>
      </c>
      <c r="L57" s="90">
        <v>220000</v>
      </c>
      <c r="M57" s="90">
        <v>107000</v>
      </c>
      <c r="N57" s="124">
        <v>95000</v>
      </c>
      <c r="O57" s="90">
        <f t="shared" si="1"/>
        <v>747000</v>
      </c>
      <c r="Q57" s="56">
        <v>552518</v>
      </c>
      <c r="R57" s="56"/>
    </row>
    <row r="58" spans="1:20" x14ac:dyDescent="0.25">
      <c r="A58" s="48">
        <v>2015</v>
      </c>
      <c r="B58" s="90">
        <v>35000</v>
      </c>
      <c r="C58" s="90">
        <v>5000</v>
      </c>
      <c r="D58" s="90">
        <v>35000</v>
      </c>
      <c r="E58" s="90">
        <v>18000</v>
      </c>
      <c r="F58" s="91">
        <v>4000</v>
      </c>
      <c r="G58" s="90">
        <v>58000</v>
      </c>
      <c r="H58" s="90">
        <v>36000</v>
      </c>
      <c r="I58" s="90">
        <v>63000</v>
      </c>
      <c r="J58" s="90">
        <v>78000</v>
      </c>
      <c r="K58" s="90">
        <v>41000</v>
      </c>
      <c r="L58" s="90">
        <v>135000</v>
      </c>
      <c r="M58" s="90">
        <v>65000</v>
      </c>
      <c r="N58" s="124">
        <v>80000</v>
      </c>
      <c r="O58" s="90">
        <f t="shared" si="1"/>
        <v>573000</v>
      </c>
      <c r="Q58" s="56">
        <v>1316000</v>
      </c>
      <c r="R58" s="56"/>
    </row>
    <row r="59" spans="1:20" x14ac:dyDescent="0.25">
      <c r="A59" s="48">
        <v>2016</v>
      </c>
      <c r="B59" s="90">
        <v>20000</v>
      </c>
      <c r="C59" s="90">
        <v>1000</v>
      </c>
      <c r="D59" s="90">
        <v>50000</v>
      </c>
      <c r="E59" s="90">
        <v>30000</v>
      </c>
      <c r="F59" s="133">
        <v>2000</v>
      </c>
      <c r="G59" s="90">
        <v>28000</v>
      </c>
      <c r="H59" s="90">
        <v>40000</v>
      </c>
      <c r="I59" s="90">
        <v>25000</v>
      </c>
      <c r="J59" s="90">
        <v>41000</v>
      </c>
      <c r="K59" s="90">
        <v>25000</v>
      </c>
      <c r="L59" s="90">
        <v>100000</v>
      </c>
      <c r="M59" s="90">
        <v>19000</v>
      </c>
      <c r="N59" s="124">
        <v>83000</v>
      </c>
      <c r="O59" s="90">
        <f t="shared" si="1"/>
        <v>381000</v>
      </c>
      <c r="Q59" s="56">
        <v>118000</v>
      </c>
      <c r="R59" s="56"/>
    </row>
    <row r="60" spans="1:20" x14ac:dyDescent="0.25">
      <c r="A60" s="48">
        <v>2017</v>
      </c>
      <c r="B60" s="11">
        <v>35000</v>
      </c>
      <c r="C60" s="11">
        <v>2000</v>
      </c>
      <c r="D60" s="11">
        <v>17000</v>
      </c>
      <c r="E60" s="11">
        <v>15000</v>
      </c>
      <c r="F60" s="11">
        <v>3000</v>
      </c>
      <c r="G60" s="11">
        <v>25000</v>
      </c>
      <c r="H60" s="11">
        <v>50000</v>
      </c>
      <c r="I60" s="11">
        <v>40000</v>
      </c>
      <c r="J60" s="11">
        <v>41000</v>
      </c>
      <c r="K60" s="11">
        <v>55000</v>
      </c>
      <c r="L60" s="11">
        <v>40000</v>
      </c>
      <c r="M60" s="11">
        <v>10000</v>
      </c>
      <c r="N60" s="146">
        <v>55000</v>
      </c>
      <c r="O60" s="90">
        <f t="shared" ref="O60:O64" si="2">SUM(B60:M60)</f>
        <v>333000</v>
      </c>
      <c r="P60" s="137"/>
      <c r="Q60" s="147">
        <v>57988</v>
      </c>
      <c r="R60" s="56"/>
    </row>
    <row r="61" spans="1:20" x14ac:dyDescent="0.25">
      <c r="A61" s="48">
        <v>2018</v>
      </c>
      <c r="B61" s="11">
        <v>33500</v>
      </c>
      <c r="C61" s="11">
        <v>2000</v>
      </c>
      <c r="D61" s="11">
        <v>10000</v>
      </c>
      <c r="E61" s="11">
        <v>7000</v>
      </c>
      <c r="F61" s="133">
        <v>6000</v>
      </c>
      <c r="G61" s="11">
        <v>10000</v>
      </c>
      <c r="H61" s="11">
        <v>8000</v>
      </c>
      <c r="I61" s="11">
        <v>6500</v>
      </c>
      <c r="J61" s="11">
        <v>33500</v>
      </c>
      <c r="K61" s="11">
        <v>7500</v>
      </c>
      <c r="L61" s="11">
        <v>115000</v>
      </c>
      <c r="M61" s="11">
        <v>1500</v>
      </c>
      <c r="N61" s="165">
        <v>80000</v>
      </c>
      <c r="O61" s="90">
        <f t="shared" si="2"/>
        <v>240500</v>
      </c>
      <c r="Q61" s="147">
        <v>161093</v>
      </c>
      <c r="R61" s="56">
        <f>Q61+O61</f>
        <v>401593</v>
      </c>
    </row>
    <row r="62" spans="1:20" x14ac:dyDescent="0.25">
      <c r="A62" s="48">
        <v>2019</v>
      </c>
      <c r="B62" s="11">
        <v>11000</v>
      </c>
      <c r="C62" s="11">
        <v>800</v>
      </c>
      <c r="D62" s="11">
        <v>15000</v>
      </c>
      <c r="E62" s="11">
        <v>500</v>
      </c>
      <c r="F62" s="133">
        <v>3000</v>
      </c>
      <c r="G62" s="11">
        <v>12000</v>
      </c>
      <c r="H62" s="11">
        <v>10000</v>
      </c>
      <c r="I62" s="11">
        <v>20000</v>
      </c>
      <c r="J62" s="11">
        <v>24000</v>
      </c>
      <c r="K62" s="11">
        <v>10000</v>
      </c>
      <c r="L62" s="11">
        <v>14000</v>
      </c>
      <c r="M62" s="11">
        <v>4200</v>
      </c>
      <c r="N62" s="165">
        <v>85000</v>
      </c>
      <c r="O62" s="90">
        <f t="shared" si="2"/>
        <v>124500</v>
      </c>
      <c r="Q62" s="147">
        <v>24381</v>
      </c>
      <c r="R62" s="56">
        <f t="shared" ref="R62:R67" si="3">Q62+O62</f>
        <v>148881</v>
      </c>
    </row>
    <row r="63" spans="1:20" x14ac:dyDescent="0.25">
      <c r="A63" s="48">
        <v>2020</v>
      </c>
      <c r="B63" s="11">
        <v>55000</v>
      </c>
      <c r="C63" s="11">
        <v>2000</v>
      </c>
      <c r="D63" s="11">
        <v>50000</v>
      </c>
      <c r="E63" s="11">
        <v>13500</v>
      </c>
      <c r="F63" s="133">
        <v>500</v>
      </c>
      <c r="G63" s="11">
        <v>35000</v>
      </c>
      <c r="H63" s="11">
        <v>22000</v>
      </c>
      <c r="I63" s="11">
        <v>16000</v>
      </c>
      <c r="J63" s="11">
        <v>51000</v>
      </c>
      <c r="K63" s="11">
        <v>50000</v>
      </c>
      <c r="L63" s="11">
        <v>150000</v>
      </c>
      <c r="M63" s="11">
        <v>50000</v>
      </c>
      <c r="N63" s="165">
        <v>125000</v>
      </c>
      <c r="O63" s="90">
        <f t="shared" si="2"/>
        <v>495000</v>
      </c>
      <c r="Q63" s="147">
        <v>159859</v>
      </c>
      <c r="R63" s="56">
        <f t="shared" si="3"/>
        <v>654859</v>
      </c>
    </row>
    <row r="64" spans="1:20" x14ac:dyDescent="0.25">
      <c r="A64" s="48">
        <v>2021</v>
      </c>
      <c r="B64" s="11">
        <v>29000</v>
      </c>
      <c r="C64" s="11">
        <v>200</v>
      </c>
      <c r="D64" s="11">
        <v>17000</v>
      </c>
      <c r="E64" s="11">
        <v>6000</v>
      </c>
      <c r="F64" s="133">
        <v>500</v>
      </c>
      <c r="G64" s="11">
        <v>31000</v>
      </c>
      <c r="H64" s="11">
        <v>26000</v>
      </c>
      <c r="I64" s="11">
        <v>12000</v>
      </c>
      <c r="J64" s="11">
        <v>15000</v>
      </c>
      <c r="K64" s="11">
        <v>20000</v>
      </c>
      <c r="L64" s="11">
        <v>18000</v>
      </c>
      <c r="M64" s="11">
        <v>20000</v>
      </c>
      <c r="N64" s="165">
        <v>70000</v>
      </c>
      <c r="O64" s="90">
        <f t="shared" si="2"/>
        <v>194700</v>
      </c>
      <c r="Q64" s="147">
        <v>5633</v>
      </c>
      <c r="R64" s="56">
        <f t="shared" si="3"/>
        <v>200333</v>
      </c>
    </row>
    <row r="65" spans="1:19" x14ac:dyDescent="0.25">
      <c r="A65" s="48">
        <v>2022</v>
      </c>
      <c r="B65" s="11">
        <v>75000</v>
      </c>
      <c r="C65" s="11">
        <v>2500</v>
      </c>
      <c r="D65" s="11">
        <v>23000</v>
      </c>
      <c r="E65" s="11">
        <v>18000</v>
      </c>
      <c r="F65" s="133">
        <v>6000</v>
      </c>
      <c r="G65" s="11">
        <v>39000</v>
      </c>
      <c r="H65" s="11">
        <v>17000</v>
      </c>
      <c r="I65" s="11">
        <v>17000</v>
      </c>
      <c r="J65" s="11">
        <v>24000</v>
      </c>
      <c r="K65" s="11">
        <v>14000</v>
      </c>
      <c r="L65" s="11">
        <v>141000</v>
      </c>
      <c r="M65" s="11">
        <v>30000</v>
      </c>
      <c r="N65" s="165">
        <v>80000</v>
      </c>
      <c r="O65" s="90">
        <f>SUM(B65:M65)</f>
        <v>406500</v>
      </c>
      <c r="Q65" s="147">
        <v>234246</v>
      </c>
      <c r="R65" s="56">
        <f t="shared" si="3"/>
        <v>640746</v>
      </c>
      <c r="S65" s="11">
        <v>158788</v>
      </c>
    </row>
    <row r="66" spans="1:19" x14ac:dyDescent="0.25">
      <c r="A66" s="48">
        <v>2023</v>
      </c>
      <c r="B66" s="11">
        <v>85000</v>
      </c>
      <c r="C66" s="11">
        <v>5000</v>
      </c>
      <c r="D66" s="11">
        <v>70000</v>
      </c>
      <c r="E66" s="11">
        <v>44500</v>
      </c>
      <c r="F66" s="133">
        <v>8000</v>
      </c>
      <c r="G66" s="11">
        <v>70000</v>
      </c>
      <c r="H66" s="11">
        <v>20000</v>
      </c>
      <c r="I66" s="11">
        <v>30000</v>
      </c>
      <c r="J66" s="11">
        <v>60000</v>
      </c>
      <c r="K66" s="11">
        <v>35000</v>
      </c>
      <c r="L66" s="11">
        <v>150000</v>
      </c>
      <c r="M66" s="11">
        <v>60000</v>
      </c>
      <c r="N66" s="124">
        <v>79000</v>
      </c>
      <c r="O66" s="90">
        <f>SUM(B66:M66)</f>
        <v>637500</v>
      </c>
      <c r="Q66" s="147">
        <v>195436</v>
      </c>
      <c r="R66" s="56">
        <f t="shared" si="3"/>
        <v>832936</v>
      </c>
      <c r="S66" s="11"/>
    </row>
    <row r="67" spans="1:19" x14ac:dyDescent="0.25">
      <c r="A67" s="48">
        <v>2024</v>
      </c>
      <c r="B67" s="108">
        <v>120000</v>
      </c>
      <c r="C67" s="108">
        <v>15000</v>
      </c>
      <c r="D67" s="108">
        <v>50000</v>
      </c>
      <c r="E67" s="108">
        <v>40000</v>
      </c>
      <c r="F67" s="190">
        <v>32000</v>
      </c>
      <c r="G67" s="108">
        <v>75000</v>
      </c>
      <c r="H67" s="108">
        <v>38000</v>
      </c>
      <c r="I67" s="108">
        <v>50000</v>
      </c>
      <c r="J67" s="108">
        <v>79000</v>
      </c>
      <c r="K67" s="108">
        <v>46000</v>
      </c>
      <c r="L67" s="108">
        <v>115000</v>
      </c>
      <c r="M67" s="108">
        <v>75000</v>
      </c>
      <c r="N67" s="124">
        <v>155000</v>
      </c>
      <c r="O67" s="90">
        <f>SUM(B67:M67)</f>
        <v>735000</v>
      </c>
      <c r="Q67" s="147">
        <v>1528484</v>
      </c>
      <c r="R67" s="56">
        <f t="shared" si="3"/>
        <v>2263484</v>
      </c>
      <c r="S67" s="11"/>
    </row>
    <row r="68" spans="1:19" ht="13.8" x14ac:dyDescent="0.25">
      <c r="A68" s="66" t="s">
        <v>108</v>
      </c>
      <c r="B68" s="128">
        <f>AVERAGE(B3:B67)</f>
        <v>43689.386787396521</v>
      </c>
      <c r="C68" s="128">
        <f>AVERAGE(C3:C67)</f>
        <v>5467.3866766459696</v>
      </c>
      <c r="D68" s="128">
        <f>AVERAGE(D3:D67)</f>
        <v>40370.094161696659</v>
      </c>
      <c r="E68" s="128">
        <f>AVERAGE(E3:E67)</f>
        <v>14011.38576454057</v>
      </c>
      <c r="F68" s="128">
        <f>AVERAGE(F3:F67)</f>
        <v>8011.7522588715101</v>
      </c>
      <c r="G68" s="128">
        <f t="shared" ref="G68:N68" si="4">AVERAGE(G3:G67)</f>
        <v>28260.476923076923</v>
      </c>
      <c r="H68" s="128">
        <f t="shared" si="4"/>
        <v>19719.467366898727</v>
      </c>
      <c r="I68" s="128">
        <f t="shared" si="4"/>
        <v>34098.02699332164</v>
      </c>
      <c r="J68" s="128">
        <f t="shared" si="4"/>
        <v>56347.919897199594</v>
      </c>
      <c r="K68" s="128">
        <f t="shared" si="4"/>
        <v>17438.220878885262</v>
      </c>
      <c r="L68" s="128">
        <f t="shared" si="4"/>
        <v>78432.909079607285</v>
      </c>
      <c r="M68" s="128">
        <f t="shared" si="4"/>
        <v>67629.515859019361</v>
      </c>
      <c r="N68" s="128">
        <f t="shared" si="4"/>
        <v>68478.818181818177</v>
      </c>
      <c r="O68" s="128">
        <f t="shared" ref="O68" si="5">AVERAGE(O3:O66)</f>
        <v>408452.73862602189</v>
      </c>
      <c r="P68" s="128"/>
      <c r="Q68" s="128">
        <f>AVERAGE(Q3:Q67)</f>
        <v>523608.92307692306</v>
      </c>
      <c r="R68" s="33"/>
    </row>
    <row r="69" spans="1:19" ht="13.8" x14ac:dyDescent="0.25">
      <c r="A69" s="22" t="s">
        <v>360</v>
      </c>
      <c r="B69" s="92">
        <f>AVERAGE(B57:B66)</f>
        <v>43850</v>
      </c>
      <c r="C69" s="92">
        <f t="shared" ref="C69:O69" si="6">AVERAGE(C57:C66)</f>
        <v>3850</v>
      </c>
      <c r="D69" s="92">
        <f t="shared" si="6"/>
        <v>38700</v>
      </c>
      <c r="E69" s="92">
        <f t="shared" si="6"/>
        <v>17750</v>
      </c>
      <c r="F69" s="92">
        <f t="shared" si="6"/>
        <v>5300</v>
      </c>
      <c r="G69" s="92">
        <f t="shared" si="6"/>
        <v>33800</v>
      </c>
      <c r="H69" s="92">
        <f t="shared" si="6"/>
        <v>24400</v>
      </c>
      <c r="I69" s="92">
        <f t="shared" si="6"/>
        <v>26650</v>
      </c>
      <c r="J69" s="92">
        <f t="shared" si="6"/>
        <v>44250</v>
      </c>
      <c r="K69" s="92">
        <f t="shared" si="6"/>
        <v>29750</v>
      </c>
      <c r="L69" s="92">
        <f t="shared" si="6"/>
        <v>108300</v>
      </c>
      <c r="M69" s="92">
        <f t="shared" si="6"/>
        <v>36670</v>
      </c>
      <c r="N69" s="92">
        <f t="shared" si="6"/>
        <v>83200</v>
      </c>
      <c r="O69" s="92">
        <f t="shared" si="6"/>
        <v>413270</v>
      </c>
      <c r="P69" s="92"/>
      <c r="Q69" s="92">
        <f>AVERAGE(Q57:Q66)</f>
        <v>282515.40000000002</v>
      </c>
      <c r="R69" s="33"/>
    </row>
    <row r="70" spans="1:19" ht="13.8" x14ac:dyDescent="0.25">
      <c r="A70" s="22" t="s">
        <v>361</v>
      </c>
      <c r="B70" s="96">
        <f>RANK(B67,B3:B67)</f>
        <v>5</v>
      </c>
      <c r="C70" s="96">
        <f t="shared" ref="C70:Q70" si="7">RANK(C67,C3:C67)</f>
        <v>7</v>
      </c>
      <c r="D70" s="96">
        <f t="shared" si="7"/>
        <v>20</v>
      </c>
      <c r="E70" s="96">
        <f t="shared" si="7"/>
        <v>6</v>
      </c>
      <c r="F70" s="96">
        <f t="shared" si="7"/>
        <v>5</v>
      </c>
      <c r="G70" s="96">
        <f t="shared" si="7"/>
        <v>6</v>
      </c>
      <c r="H70" s="96">
        <f t="shared" si="7"/>
        <v>11</v>
      </c>
      <c r="I70" s="96">
        <f t="shared" si="7"/>
        <v>15</v>
      </c>
      <c r="J70" s="96">
        <f t="shared" si="7"/>
        <v>19</v>
      </c>
      <c r="K70" s="96">
        <f t="shared" si="7"/>
        <v>8</v>
      </c>
      <c r="L70" s="96">
        <f t="shared" si="7"/>
        <v>21</v>
      </c>
      <c r="M70" s="96">
        <f t="shared" si="7"/>
        <v>22</v>
      </c>
      <c r="N70" s="96">
        <f t="shared" si="7"/>
        <v>8</v>
      </c>
      <c r="O70" s="96">
        <f t="shared" si="7"/>
        <v>13</v>
      </c>
      <c r="P70" s="96"/>
      <c r="Q70" s="96">
        <f t="shared" si="7"/>
        <v>8</v>
      </c>
    </row>
    <row r="71" spans="1:19" ht="13.8" x14ac:dyDescent="0.25">
      <c r="A71" s="23" t="s">
        <v>362</v>
      </c>
      <c r="B71" s="129">
        <f>B67/B69</f>
        <v>2.7366020524515395</v>
      </c>
      <c r="C71" s="129">
        <f t="shared" ref="C71:Q71" si="8">C67/C69</f>
        <v>3.8961038961038961</v>
      </c>
      <c r="D71" s="129">
        <f t="shared" si="8"/>
        <v>1.2919896640826873</v>
      </c>
      <c r="E71" s="129">
        <f t="shared" si="8"/>
        <v>2.2535211267605635</v>
      </c>
      <c r="F71" s="129">
        <f t="shared" si="8"/>
        <v>6.0377358490566042</v>
      </c>
      <c r="G71" s="129">
        <f t="shared" si="8"/>
        <v>2.2189349112426036</v>
      </c>
      <c r="H71" s="129">
        <f t="shared" si="8"/>
        <v>1.5573770491803278</v>
      </c>
      <c r="I71" s="129">
        <f t="shared" si="8"/>
        <v>1.876172607879925</v>
      </c>
      <c r="J71" s="129">
        <f t="shared" si="8"/>
        <v>1.7853107344632768</v>
      </c>
      <c r="K71" s="129">
        <f t="shared" si="8"/>
        <v>1.546218487394958</v>
      </c>
      <c r="L71" s="129">
        <f t="shared" si="8"/>
        <v>1.0618651892890121</v>
      </c>
      <c r="M71" s="129">
        <f t="shared" si="8"/>
        <v>2.0452686119443686</v>
      </c>
      <c r="N71" s="129">
        <f t="shared" si="8"/>
        <v>1.8629807692307692</v>
      </c>
      <c r="O71" s="129">
        <f t="shared" si="8"/>
        <v>1.7784983182907059</v>
      </c>
      <c r="P71" s="129"/>
      <c r="Q71" s="129">
        <f t="shared" si="8"/>
        <v>5.4102679004401173</v>
      </c>
      <c r="R71" s="49"/>
    </row>
    <row r="74" spans="1:19" ht="13.8" x14ac:dyDescent="0.25">
      <c r="A74" s="158" t="s">
        <v>344</v>
      </c>
      <c r="N74" s="125" t="s">
        <v>334</v>
      </c>
    </row>
    <row r="75" spans="1:19" ht="13.8" x14ac:dyDescent="0.25">
      <c r="A75" s="159" t="s">
        <v>345</v>
      </c>
    </row>
    <row r="76" spans="1:19" ht="13.8" x14ac:dyDescent="0.25">
      <c r="A76" s="160" t="s">
        <v>346</v>
      </c>
    </row>
    <row r="77" spans="1:19" x14ac:dyDescent="0.25">
      <c r="A77" s="179" t="s">
        <v>355</v>
      </c>
    </row>
  </sheetData>
  <mergeCells count="1">
    <mergeCell ref="S49:T49"/>
  </mergeCells>
  <phoneticPr fontId="10" type="noConversion"/>
  <pageMargins left="0.75" right="0.75" top="0.53" bottom="1" header="0.5" footer="0.5"/>
  <pageSetup scale="49" orientation="landscape" r:id="rId1"/>
  <headerFooter alignWithMargins="0">
    <oddFooter>&amp;A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92D050"/>
    <pageSetUpPr fitToPage="1"/>
  </sheetPr>
  <dimension ref="A1:AA165"/>
  <sheetViews>
    <sheetView zoomScale="80" zoomScaleNormal="80" workbookViewId="0">
      <pane xSplit="1" ySplit="2" topLeftCell="G48" activePane="bottomRight" state="frozen"/>
      <selection pane="topRight" activeCell="B1" sqref="B1"/>
      <selection pane="bottomLeft" activeCell="A3" sqref="A3"/>
      <selection pane="bottomRight" activeCell="O51" sqref="O51"/>
    </sheetView>
  </sheetViews>
  <sheetFormatPr defaultRowHeight="13.2" x14ac:dyDescent="0.25"/>
  <cols>
    <col min="1" max="1" width="22.5546875" bestFit="1" customWidth="1"/>
    <col min="2" max="2" width="12.44140625" bestFit="1" customWidth="1"/>
    <col min="3" max="3" width="10" bestFit="1" customWidth="1"/>
    <col min="4" max="4" width="10.6640625" style="2" bestFit="1" customWidth="1"/>
    <col min="5" max="5" width="10.5546875" bestFit="1" customWidth="1"/>
    <col min="6" max="6" width="12" customWidth="1"/>
    <col min="7" max="7" width="14.44140625" bestFit="1" customWidth="1"/>
    <col min="8" max="8" width="16.109375" bestFit="1" customWidth="1"/>
    <col min="9" max="9" width="12.109375" bestFit="1" customWidth="1"/>
    <col min="10" max="10" width="11.6640625" bestFit="1" customWidth="1"/>
    <col min="11" max="11" width="13.109375" bestFit="1" customWidth="1"/>
    <col min="12" max="12" width="11.88671875" bestFit="1" customWidth="1"/>
    <col min="13" max="13" width="10.33203125" bestFit="1" customWidth="1"/>
    <col min="14" max="14" width="13.33203125" bestFit="1" customWidth="1"/>
    <col min="15" max="15" width="16.33203125" bestFit="1" customWidth="1"/>
    <col min="16" max="16" width="13.6640625" bestFit="1" customWidth="1"/>
    <col min="17" max="17" width="13" bestFit="1" customWidth="1"/>
    <col min="18" max="18" width="13.6640625" bestFit="1" customWidth="1"/>
    <col min="19" max="19" width="11.88671875" bestFit="1" customWidth="1"/>
    <col min="20" max="20" width="11.6640625" bestFit="1" customWidth="1"/>
    <col min="21" max="21" width="10" customWidth="1"/>
    <col min="22" max="22" width="11.109375" customWidth="1"/>
    <col min="23" max="23" width="2.109375" style="28" customWidth="1"/>
    <col min="24" max="24" width="11.109375" bestFit="1" customWidth="1"/>
    <col min="25" max="25" width="13.44140625" customWidth="1"/>
    <col min="26" max="27" width="11.44140625" bestFit="1" customWidth="1"/>
  </cols>
  <sheetData>
    <row r="1" spans="1:25" s="14" customFormat="1" x14ac:dyDescent="0.25">
      <c r="B1" s="38" t="s">
        <v>21</v>
      </c>
      <c r="C1" s="38" t="s">
        <v>22</v>
      </c>
      <c r="D1" s="72">
        <v>11351004</v>
      </c>
      <c r="E1" s="38" t="s">
        <v>23</v>
      </c>
      <c r="F1" s="38" t="s">
        <v>24</v>
      </c>
      <c r="G1" s="38" t="s">
        <v>25</v>
      </c>
      <c r="H1" s="38" t="s">
        <v>26</v>
      </c>
      <c r="I1" s="38" t="s">
        <v>27</v>
      </c>
      <c r="J1" s="38" t="s">
        <v>28</v>
      </c>
      <c r="K1" s="38" t="s">
        <v>29</v>
      </c>
      <c r="L1" s="38" t="s">
        <v>30</v>
      </c>
      <c r="M1" s="38" t="s">
        <v>31</v>
      </c>
      <c r="N1" s="38" t="s">
        <v>32</v>
      </c>
      <c r="O1" s="38" t="s">
        <v>33</v>
      </c>
      <c r="P1" s="38" t="s">
        <v>34</v>
      </c>
      <c r="Q1" s="38" t="s">
        <v>35</v>
      </c>
      <c r="R1" s="38" t="s">
        <v>36</v>
      </c>
      <c r="S1" s="38" t="s">
        <v>37</v>
      </c>
      <c r="T1" s="38" t="s">
        <v>38</v>
      </c>
      <c r="U1" s="38" t="s">
        <v>39</v>
      </c>
      <c r="W1" s="29"/>
    </row>
    <row r="2" spans="1:25" s="14" customFormat="1" x14ac:dyDescent="0.25">
      <c r="B2" s="15" t="s">
        <v>40</v>
      </c>
      <c r="C2" s="15" t="s">
        <v>41</v>
      </c>
      <c r="D2" s="73" t="s">
        <v>152</v>
      </c>
      <c r="E2" s="15" t="s">
        <v>42</v>
      </c>
      <c r="F2" s="14" t="s">
        <v>115</v>
      </c>
      <c r="G2" s="14" t="s">
        <v>116</v>
      </c>
      <c r="H2" s="14" t="s">
        <v>43</v>
      </c>
      <c r="I2" s="15" t="s">
        <v>44</v>
      </c>
      <c r="J2" s="15" t="s">
        <v>114</v>
      </c>
      <c r="K2" s="15" t="s">
        <v>112</v>
      </c>
      <c r="L2" s="15" t="s">
        <v>113</v>
      </c>
      <c r="M2" s="14" t="s">
        <v>111</v>
      </c>
      <c r="N2" s="14" t="s">
        <v>357</v>
      </c>
      <c r="O2" s="14" t="s">
        <v>117</v>
      </c>
      <c r="P2" s="14" t="s">
        <v>118</v>
      </c>
      <c r="Q2" s="14" t="s">
        <v>358</v>
      </c>
      <c r="R2" s="14" t="s">
        <v>120</v>
      </c>
      <c r="S2" s="14" t="s">
        <v>121</v>
      </c>
      <c r="T2" s="15" t="s">
        <v>122</v>
      </c>
      <c r="U2" s="14" t="s">
        <v>123</v>
      </c>
      <c r="V2" s="14" t="s">
        <v>4</v>
      </c>
      <c r="W2" s="29"/>
      <c r="X2" s="14" t="s">
        <v>140</v>
      </c>
    </row>
    <row r="3" spans="1:25" x14ac:dyDescent="0.25">
      <c r="A3" s="6">
        <v>1960</v>
      </c>
      <c r="B3" s="1">
        <v>546.17908870147653</v>
      </c>
      <c r="C3" s="1">
        <v>2195.1201881681236</v>
      </c>
      <c r="D3" s="2">
        <v>700</v>
      </c>
      <c r="E3" s="1">
        <v>650.57576600474408</v>
      </c>
      <c r="F3" s="1">
        <v>4141.3752572815865</v>
      </c>
      <c r="G3" s="1">
        <v>944.02745128577271</v>
      </c>
      <c r="H3" s="2">
        <v>7000</v>
      </c>
      <c r="I3" s="1">
        <v>913.05734676072666</v>
      </c>
      <c r="J3" s="1">
        <v>633.88130043409478</v>
      </c>
      <c r="K3" s="2">
        <v>500</v>
      </c>
      <c r="L3" s="2">
        <v>2600</v>
      </c>
      <c r="M3" s="2">
        <v>3600</v>
      </c>
      <c r="N3" s="1">
        <v>477.62292903549672</v>
      </c>
      <c r="O3" s="2">
        <v>2000</v>
      </c>
      <c r="P3" s="2">
        <v>1300</v>
      </c>
      <c r="Q3" s="1">
        <v>1303.4466152539337</v>
      </c>
      <c r="R3" s="2">
        <v>100</v>
      </c>
      <c r="S3" s="1">
        <v>4706.521293787483</v>
      </c>
      <c r="T3" s="1">
        <v>3494.3062155570706</v>
      </c>
      <c r="U3" s="2">
        <v>1500</v>
      </c>
      <c r="V3" s="10">
        <f t="shared" ref="V3:V34" si="0">SUM(B3:U3)</f>
        <v>39306.113452270518</v>
      </c>
      <c r="X3" s="37">
        <v>2959</v>
      </c>
      <c r="Y3" s="37"/>
    </row>
    <row r="4" spans="1:25" x14ac:dyDescent="0.25">
      <c r="A4" s="6">
        <v>1961</v>
      </c>
      <c r="B4" s="2">
        <v>1500</v>
      </c>
      <c r="C4" s="1">
        <v>13750.536364741982</v>
      </c>
      <c r="D4" s="2">
        <v>9595</v>
      </c>
      <c r="E4" s="1">
        <v>4075.2965541459084</v>
      </c>
      <c r="F4" s="2">
        <v>35000</v>
      </c>
      <c r="G4" s="1">
        <v>5913.518495626472</v>
      </c>
      <c r="H4" s="2">
        <v>23000</v>
      </c>
      <c r="I4" s="1">
        <v>5719.5174921202515</v>
      </c>
      <c r="J4" s="1">
        <v>3970.7201235063599</v>
      </c>
      <c r="K4" s="1">
        <v>6060.9756006059406</v>
      </c>
      <c r="L4" s="1">
        <v>12174.673003244543</v>
      </c>
      <c r="M4" s="1">
        <v>15471.708349840012</v>
      </c>
      <c r="N4" s="1">
        <v>2991.8960962978194</v>
      </c>
      <c r="O4" s="1">
        <v>25227.678002982448</v>
      </c>
      <c r="P4" s="1">
        <v>2704.0307225688462</v>
      </c>
      <c r="Q4" s="1">
        <v>8164.9699889245276</v>
      </c>
      <c r="R4" s="1">
        <v>16737.400188317399</v>
      </c>
      <c r="S4" s="1">
        <v>29482.300967166462</v>
      </c>
      <c r="T4" s="1">
        <v>21888.817964074831</v>
      </c>
      <c r="U4" s="2">
        <v>8000</v>
      </c>
      <c r="V4" s="10">
        <f t="shared" si="0"/>
        <v>251429.03991416388</v>
      </c>
      <c r="X4" s="37">
        <v>299430</v>
      </c>
      <c r="Y4" s="37"/>
    </row>
    <row r="5" spans="1:25" x14ac:dyDescent="0.25">
      <c r="A5" s="6">
        <v>1962</v>
      </c>
      <c r="B5" s="1">
        <v>771.57524331613035</v>
      </c>
      <c r="C5" s="1">
        <v>3100.9982464148156</v>
      </c>
      <c r="D5" s="2">
        <v>6739</v>
      </c>
      <c r="E5" s="1">
        <v>919.05414581974696</v>
      </c>
      <c r="F5" s="2">
        <v>9200</v>
      </c>
      <c r="G5" s="2">
        <v>2000</v>
      </c>
      <c r="H5" s="2">
        <v>9200</v>
      </c>
      <c r="I5" s="1">
        <v>1289.856129692027</v>
      </c>
      <c r="J5" s="1">
        <v>895.47023949900165</v>
      </c>
      <c r="K5" s="2">
        <v>1000</v>
      </c>
      <c r="L5" s="2">
        <v>2500</v>
      </c>
      <c r="M5" s="2">
        <v>7300</v>
      </c>
      <c r="N5" s="1">
        <v>674.72745800297389</v>
      </c>
      <c r="O5" s="2">
        <v>3000</v>
      </c>
      <c r="P5" s="2">
        <v>1000</v>
      </c>
      <c r="Q5" s="2">
        <v>2500</v>
      </c>
      <c r="R5" s="2">
        <v>500</v>
      </c>
      <c r="S5" s="2">
        <v>2200</v>
      </c>
      <c r="T5" s="1">
        <v>4936.3299035238069</v>
      </c>
      <c r="U5" s="2">
        <v>1550</v>
      </c>
      <c r="V5" s="10">
        <f t="shared" si="0"/>
        <v>61277.011366268511</v>
      </c>
      <c r="X5" s="37">
        <v>1647</v>
      </c>
      <c r="Y5" s="37"/>
    </row>
    <row r="6" spans="1:25" x14ac:dyDescent="0.25">
      <c r="A6" s="6">
        <v>1963</v>
      </c>
      <c r="B6" s="1">
        <v>4567.689468802434</v>
      </c>
      <c r="C6" s="1">
        <v>18357.76505106323</v>
      </c>
      <c r="D6" s="2">
        <v>13627</v>
      </c>
      <c r="E6" s="2">
        <v>2000</v>
      </c>
      <c r="F6" s="2">
        <v>52000</v>
      </c>
      <c r="G6" s="2">
        <v>17000</v>
      </c>
      <c r="H6" s="2">
        <v>75000</v>
      </c>
      <c r="I6" s="1">
        <v>7635.8881550584038</v>
      </c>
      <c r="J6" s="1">
        <v>5301.142071273468</v>
      </c>
      <c r="K6" s="2">
        <v>7000</v>
      </c>
      <c r="L6" s="2">
        <v>6000</v>
      </c>
      <c r="M6" s="2">
        <v>18000</v>
      </c>
      <c r="N6" s="2">
        <v>500</v>
      </c>
      <c r="O6" s="2">
        <v>50000</v>
      </c>
      <c r="P6" s="2">
        <v>5000</v>
      </c>
      <c r="Q6" s="2">
        <v>12300</v>
      </c>
      <c r="R6" s="2">
        <v>17000</v>
      </c>
      <c r="S6" s="2">
        <v>15000</v>
      </c>
      <c r="T6" s="2">
        <v>200</v>
      </c>
      <c r="U6" s="2">
        <v>10000</v>
      </c>
      <c r="V6" s="10">
        <f t="shared" si="0"/>
        <v>336489.48474619753</v>
      </c>
      <c r="X6" s="37">
        <v>751331</v>
      </c>
      <c r="Y6" s="37"/>
    </row>
    <row r="7" spans="1:25" x14ac:dyDescent="0.25">
      <c r="A7" s="6">
        <v>1964</v>
      </c>
      <c r="B7" s="1">
        <v>2234.7173309015579</v>
      </c>
      <c r="C7" s="1">
        <v>8981.4371140267012</v>
      </c>
      <c r="D7" s="2">
        <v>7905</v>
      </c>
      <c r="E7" s="1">
        <v>2661.8612327985988</v>
      </c>
      <c r="F7" s="2">
        <v>31000</v>
      </c>
      <c r="G7" s="2">
        <v>8000</v>
      </c>
      <c r="H7" s="2">
        <v>32000</v>
      </c>
      <c r="I7" s="1">
        <v>3735.8169190799445</v>
      </c>
      <c r="J7" s="1">
        <v>2593.5550440466413</v>
      </c>
      <c r="K7" s="2">
        <v>1000</v>
      </c>
      <c r="L7" s="2">
        <v>3500</v>
      </c>
      <c r="M7" s="2">
        <v>12000</v>
      </c>
      <c r="N7" s="1">
        <v>1954.2165946737302</v>
      </c>
      <c r="O7" s="2">
        <v>12000</v>
      </c>
      <c r="P7" s="2">
        <v>2000</v>
      </c>
      <c r="Q7" s="2">
        <v>4000</v>
      </c>
      <c r="R7" s="2">
        <v>2000</v>
      </c>
      <c r="S7" s="2">
        <v>12000</v>
      </c>
      <c r="T7" s="1">
        <v>14297.117598877858</v>
      </c>
      <c r="U7" s="2">
        <v>2000</v>
      </c>
      <c r="V7" s="10">
        <f t="shared" si="0"/>
        <v>165863.72183440503</v>
      </c>
      <c r="X7" s="37">
        <v>3834</v>
      </c>
      <c r="Y7" s="37"/>
    </row>
    <row r="8" spans="1:25" x14ac:dyDescent="0.25">
      <c r="A8" s="6">
        <v>1965</v>
      </c>
      <c r="B8" s="2">
        <v>3000</v>
      </c>
      <c r="C8" s="1">
        <v>12260.106857202085</v>
      </c>
      <c r="D8" s="2">
        <v>4000</v>
      </c>
      <c r="E8" s="1">
        <v>3633.5725273047378</v>
      </c>
      <c r="F8" s="2">
        <v>50000</v>
      </c>
      <c r="G8" s="2">
        <v>3000</v>
      </c>
      <c r="H8" s="2">
        <v>27000</v>
      </c>
      <c r="I8" s="1">
        <v>5099.5752735006527</v>
      </c>
      <c r="J8" s="1">
        <v>3540.3311938302068</v>
      </c>
      <c r="K8" s="1">
        <v>5404.0225071041459</v>
      </c>
      <c r="L8" s="2">
        <v>6000</v>
      </c>
      <c r="M8" s="2">
        <v>14000</v>
      </c>
      <c r="N8" s="1">
        <v>2667.6025193815353</v>
      </c>
      <c r="O8" s="2">
        <v>18000</v>
      </c>
      <c r="P8" s="2">
        <v>1000</v>
      </c>
      <c r="Q8" s="2">
        <v>11500</v>
      </c>
      <c r="R8" s="2">
        <v>12000</v>
      </c>
      <c r="S8" s="2">
        <v>13000</v>
      </c>
      <c r="T8" s="1">
        <v>19516.27420981065</v>
      </c>
      <c r="U8" s="2">
        <v>5000</v>
      </c>
      <c r="V8" s="10">
        <f t="shared" si="0"/>
        <v>219621.48508813404</v>
      </c>
      <c r="X8" s="37">
        <v>72013</v>
      </c>
      <c r="Y8" s="37"/>
    </row>
    <row r="9" spans="1:25" x14ac:dyDescent="0.25">
      <c r="A9" s="6">
        <v>1966</v>
      </c>
      <c r="B9" s="1">
        <v>1966.1528656500432</v>
      </c>
      <c r="C9" s="1">
        <v>7902.0635302698392</v>
      </c>
      <c r="D9" s="2">
        <v>10842</v>
      </c>
      <c r="E9" s="1">
        <v>2341.9633521131068</v>
      </c>
      <c r="F9" s="2">
        <v>9000</v>
      </c>
      <c r="G9" s="1">
        <v>3398.3400697110719</v>
      </c>
      <c r="H9" s="2">
        <v>11000</v>
      </c>
      <c r="I9" s="1">
        <v>3286.8529008443311</v>
      </c>
      <c r="J9" s="1">
        <v>2281.8660830235999</v>
      </c>
      <c r="K9" s="2">
        <v>5000</v>
      </c>
      <c r="L9" s="2">
        <v>7000</v>
      </c>
      <c r="M9" s="2">
        <v>14000</v>
      </c>
      <c r="N9" s="1">
        <v>1719.3622231008187</v>
      </c>
      <c r="O9" s="2">
        <v>10000</v>
      </c>
      <c r="P9" s="2">
        <v>2500</v>
      </c>
      <c r="Q9" s="2">
        <v>4000</v>
      </c>
      <c r="R9" s="2">
        <v>10000</v>
      </c>
      <c r="S9" s="2">
        <v>30000</v>
      </c>
      <c r="T9" s="1">
        <v>12578.914725083545</v>
      </c>
      <c r="U9" s="2">
        <v>1000</v>
      </c>
      <c r="V9" s="10">
        <f t="shared" si="0"/>
        <v>149817.51574979635</v>
      </c>
      <c r="X9" s="37">
        <v>49673</v>
      </c>
      <c r="Y9" s="37"/>
    </row>
    <row r="10" spans="1:25" x14ac:dyDescent="0.25">
      <c r="A10" s="6">
        <v>1967</v>
      </c>
      <c r="B10" s="1">
        <v>334.0400604995923</v>
      </c>
      <c r="C10" s="1">
        <v>1342.5231704743474</v>
      </c>
      <c r="D10" s="2">
        <v>4427</v>
      </c>
      <c r="E10" s="1">
        <v>397.88848219724929</v>
      </c>
      <c r="F10" s="1">
        <v>2532.8418253424902</v>
      </c>
      <c r="G10" s="1">
        <v>577.36188306240058</v>
      </c>
      <c r="H10" s="1">
        <v>2246.6225466178607</v>
      </c>
      <c r="I10" s="1">
        <v>558.42074060600567</v>
      </c>
      <c r="J10" s="1">
        <v>387.67824013699237</v>
      </c>
      <c r="K10" s="1">
        <v>591.75874233981324</v>
      </c>
      <c r="L10" s="1">
        <v>1188.6649338231737</v>
      </c>
      <c r="M10" s="2">
        <v>2000</v>
      </c>
      <c r="N10" s="1">
        <v>292.11149831471693</v>
      </c>
      <c r="O10" s="1">
        <v>2463.0851172002913</v>
      </c>
      <c r="P10" s="1">
        <v>264.00598144992415</v>
      </c>
      <c r="Q10" s="1">
        <v>797.18062137090112</v>
      </c>
      <c r="R10" s="2">
        <v>300</v>
      </c>
      <c r="S10" s="2">
        <v>200</v>
      </c>
      <c r="T10" s="1">
        <v>2137.098032419186</v>
      </c>
      <c r="U10" s="2">
        <v>5000</v>
      </c>
      <c r="V10" s="10">
        <f t="shared" si="0"/>
        <v>28038.281875854947</v>
      </c>
      <c r="X10" s="37">
        <v>61918</v>
      </c>
      <c r="Y10" s="37"/>
    </row>
    <row r="11" spans="1:25" x14ac:dyDescent="0.25">
      <c r="A11" s="6">
        <v>1968</v>
      </c>
      <c r="B11" s="1">
        <v>2781.5032549998637</v>
      </c>
      <c r="C11" s="1">
        <v>11178.99621020638</v>
      </c>
      <c r="D11" s="2">
        <v>11828</v>
      </c>
      <c r="E11" s="1">
        <v>3313.1598268529433</v>
      </c>
      <c r="F11" s="2">
        <v>37000</v>
      </c>
      <c r="G11" s="2">
        <v>7000</v>
      </c>
      <c r="H11" s="2">
        <v>35000</v>
      </c>
      <c r="I11" s="1">
        <v>4649.8887260996453</v>
      </c>
      <c r="J11" s="1">
        <v>3228.1406238755499</v>
      </c>
      <c r="K11" s="1">
        <v>4927.489444454447</v>
      </c>
      <c r="L11" s="1">
        <v>9897.8409555545913</v>
      </c>
      <c r="M11" s="2">
        <v>11000</v>
      </c>
      <c r="N11" s="1">
        <v>2432.3701907053132</v>
      </c>
      <c r="O11" s="2">
        <v>17000</v>
      </c>
      <c r="P11" s="1">
        <v>2198.3396175205712</v>
      </c>
      <c r="Q11" s="2">
        <v>1000</v>
      </c>
      <c r="R11" s="2">
        <v>7000</v>
      </c>
      <c r="S11" s="2">
        <v>20000</v>
      </c>
      <c r="T11" s="2">
        <v>15000</v>
      </c>
      <c r="U11" s="2">
        <v>2000</v>
      </c>
      <c r="V11" s="10">
        <f t="shared" si="0"/>
        <v>208435.72885026931</v>
      </c>
      <c r="X11" s="37">
        <v>118134</v>
      </c>
      <c r="Y11" s="37"/>
    </row>
    <row r="12" spans="1:25" x14ac:dyDescent="0.25">
      <c r="A12" s="6">
        <v>1969</v>
      </c>
      <c r="B12" s="1">
        <v>2206.2503299270725</v>
      </c>
      <c r="C12" s="1">
        <v>8867.0268621124469</v>
      </c>
      <c r="D12" s="2">
        <v>6650</v>
      </c>
      <c r="E12" s="1">
        <v>2627.9530496906145</v>
      </c>
      <c r="F12" s="2">
        <v>30000</v>
      </c>
      <c r="G12" s="1">
        <v>3813.3295903334956</v>
      </c>
      <c r="H12" s="2">
        <v>30000</v>
      </c>
      <c r="I12" s="1">
        <v>3688.2281256923593</v>
      </c>
      <c r="J12" s="1">
        <v>2560.5169809536092</v>
      </c>
      <c r="K12" s="2">
        <v>500</v>
      </c>
      <c r="L12" s="2">
        <v>5000</v>
      </c>
      <c r="M12" s="2">
        <v>8000</v>
      </c>
      <c r="N12" s="1">
        <v>1929.3227597325194</v>
      </c>
      <c r="O12" s="2">
        <v>8000</v>
      </c>
      <c r="P12" s="2">
        <v>500</v>
      </c>
      <c r="Q12" s="2">
        <v>500</v>
      </c>
      <c r="R12" s="2">
        <v>1000</v>
      </c>
      <c r="S12" s="2">
        <v>2000</v>
      </c>
      <c r="T12" s="2">
        <v>35000</v>
      </c>
      <c r="U12" s="1">
        <v>9753.9331624096649</v>
      </c>
      <c r="V12" s="10">
        <f t="shared" si="0"/>
        <v>162596.56086085178</v>
      </c>
      <c r="X12" s="37">
        <v>1967</v>
      </c>
      <c r="Y12" s="37"/>
    </row>
    <row r="13" spans="1:25" x14ac:dyDescent="0.25">
      <c r="A13" s="6">
        <v>1970</v>
      </c>
      <c r="B13" s="1">
        <v>1836.4250569489752</v>
      </c>
      <c r="C13" s="1">
        <v>7380.6811905412987</v>
      </c>
      <c r="D13" s="2">
        <v>9589</v>
      </c>
      <c r="E13" s="1">
        <v>2187.4393689313056</v>
      </c>
      <c r="F13" s="2">
        <v>15000</v>
      </c>
      <c r="G13" s="2">
        <v>8000</v>
      </c>
      <c r="H13" s="2">
        <v>15000</v>
      </c>
      <c r="I13" s="1">
        <v>3069.9846044834953</v>
      </c>
      <c r="J13" s="1">
        <v>2131.3073495244826</v>
      </c>
      <c r="K13" s="2">
        <v>2000</v>
      </c>
      <c r="L13" s="2">
        <v>15000</v>
      </c>
      <c r="M13" s="2">
        <v>20000</v>
      </c>
      <c r="N13" s="2">
        <v>500</v>
      </c>
      <c r="O13" s="2">
        <v>15000</v>
      </c>
      <c r="P13" s="2">
        <v>200</v>
      </c>
      <c r="Q13" s="2">
        <v>3000</v>
      </c>
      <c r="R13" s="2">
        <v>5000</v>
      </c>
      <c r="S13" s="2">
        <v>9000</v>
      </c>
      <c r="T13" s="2">
        <v>500</v>
      </c>
      <c r="U13" s="2">
        <v>5000</v>
      </c>
      <c r="V13" s="10">
        <f t="shared" si="0"/>
        <v>139394.83757042955</v>
      </c>
      <c r="X13" s="37">
        <v>44877</v>
      </c>
      <c r="Y13" s="37"/>
    </row>
    <row r="14" spans="1:25" x14ac:dyDescent="0.25">
      <c r="A14" s="6">
        <v>1971</v>
      </c>
      <c r="B14" s="1">
        <v>1810.3075069434328</v>
      </c>
      <c r="C14" s="1">
        <v>7275.7134934851883</v>
      </c>
      <c r="D14" s="2">
        <v>5000</v>
      </c>
      <c r="E14" s="1">
        <v>2156.3297102055249</v>
      </c>
      <c r="F14" s="2">
        <v>10000</v>
      </c>
      <c r="G14" s="2">
        <v>2000</v>
      </c>
      <c r="H14" s="2">
        <v>8000</v>
      </c>
      <c r="I14" s="1">
        <v>3026.3234293686291</v>
      </c>
      <c r="J14" s="1">
        <v>2100.9959977110334</v>
      </c>
      <c r="K14" s="1">
        <v>3206.9964750155773</v>
      </c>
      <c r="L14" s="2">
        <v>7000</v>
      </c>
      <c r="M14" s="2">
        <v>6000</v>
      </c>
      <c r="N14" s="1">
        <v>1583.0785058909307</v>
      </c>
      <c r="O14" s="2">
        <v>8000</v>
      </c>
      <c r="P14" s="2">
        <v>300</v>
      </c>
      <c r="Q14" s="2">
        <v>1500</v>
      </c>
      <c r="R14" s="2">
        <v>1500</v>
      </c>
      <c r="S14" s="2">
        <v>2000</v>
      </c>
      <c r="T14" s="2">
        <v>60000</v>
      </c>
      <c r="U14" s="2">
        <v>500</v>
      </c>
      <c r="V14" s="10">
        <f t="shared" si="0"/>
        <v>132959.74511862031</v>
      </c>
      <c r="X14" s="37">
        <v>0</v>
      </c>
      <c r="Y14" s="37"/>
    </row>
    <row r="15" spans="1:25" x14ac:dyDescent="0.25">
      <c r="A15" s="6">
        <v>1972</v>
      </c>
      <c r="B15" s="1">
        <v>2496.1706625148699</v>
      </c>
      <c r="C15" s="2">
        <v>500</v>
      </c>
      <c r="D15" s="2">
        <v>10244</v>
      </c>
      <c r="E15" s="1">
        <v>2973.2887596541245</v>
      </c>
      <c r="F15" s="2">
        <v>13000</v>
      </c>
      <c r="G15" s="2">
        <v>1500</v>
      </c>
      <c r="H15" s="2">
        <v>37000</v>
      </c>
      <c r="I15" s="2">
        <v>2000</v>
      </c>
      <c r="J15" s="2">
        <v>1000</v>
      </c>
      <c r="K15" s="2">
        <v>1500</v>
      </c>
      <c r="L15" s="2">
        <v>11000</v>
      </c>
      <c r="M15" s="2">
        <v>25000</v>
      </c>
      <c r="N15" s="2">
        <v>1000</v>
      </c>
      <c r="O15" s="2">
        <v>20000</v>
      </c>
      <c r="P15" s="2">
        <v>1500</v>
      </c>
      <c r="Q15" s="2">
        <v>3000</v>
      </c>
      <c r="R15" s="2">
        <v>15000</v>
      </c>
      <c r="S15" s="2">
        <v>20500</v>
      </c>
      <c r="T15" s="1">
        <v>15969.825372384837</v>
      </c>
      <c r="U15" s="2">
        <v>1500</v>
      </c>
      <c r="V15" s="10">
        <f t="shared" si="0"/>
        <v>186683.28479455382</v>
      </c>
      <c r="X15" s="37">
        <v>0</v>
      </c>
      <c r="Y15" s="37"/>
    </row>
    <row r="16" spans="1:25" x14ac:dyDescent="0.25">
      <c r="A16" s="6">
        <v>1973</v>
      </c>
      <c r="B16" s="2">
        <v>1000</v>
      </c>
      <c r="C16" s="1">
        <v>2152.1173991297937</v>
      </c>
      <c r="D16" s="2">
        <v>6637</v>
      </c>
      <c r="E16" s="1">
        <v>637.83087277076618</v>
      </c>
      <c r="F16" s="2">
        <v>5000</v>
      </c>
      <c r="G16" s="2">
        <v>1250</v>
      </c>
      <c r="H16" s="2">
        <v>3000</v>
      </c>
      <c r="I16" s="1">
        <v>895.17039305173944</v>
      </c>
      <c r="J16" s="1">
        <v>621.4634545749351</v>
      </c>
      <c r="K16" s="2">
        <v>700</v>
      </c>
      <c r="L16" s="2">
        <v>3500</v>
      </c>
      <c r="M16" s="2">
        <v>4000</v>
      </c>
      <c r="N16" s="2">
        <v>500</v>
      </c>
      <c r="O16" s="2">
        <v>3600</v>
      </c>
      <c r="P16" s="2">
        <v>3000</v>
      </c>
      <c r="Q16" s="2">
        <v>200</v>
      </c>
      <c r="R16" s="2">
        <v>500</v>
      </c>
      <c r="S16" s="2">
        <v>1500</v>
      </c>
      <c r="T16" s="1">
        <v>3425.8521383161733</v>
      </c>
      <c r="U16" s="1">
        <v>2367.3785582577161</v>
      </c>
      <c r="V16" s="10">
        <f t="shared" si="0"/>
        <v>44486.812816101126</v>
      </c>
      <c r="X16" s="37">
        <v>0</v>
      </c>
      <c r="Y16" s="37"/>
    </row>
    <row r="17" spans="1:25" x14ac:dyDescent="0.25">
      <c r="A17" s="6">
        <v>1974</v>
      </c>
      <c r="B17" s="1">
        <v>2209.5023342863633</v>
      </c>
      <c r="C17" s="1">
        <v>8880.0968282591075</v>
      </c>
      <c r="D17" s="2">
        <v>6000</v>
      </c>
      <c r="E17" s="1">
        <v>2631.8266431755837</v>
      </c>
      <c r="F17" s="2">
        <v>8000</v>
      </c>
      <c r="G17" s="2">
        <v>1500</v>
      </c>
      <c r="H17" s="2">
        <v>11000</v>
      </c>
      <c r="I17" s="2">
        <v>1000</v>
      </c>
      <c r="J17" s="2">
        <v>1000</v>
      </c>
      <c r="K17" s="2">
        <v>2500</v>
      </c>
      <c r="L17" s="2">
        <v>12000</v>
      </c>
      <c r="M17" s="2">
        <v>18000</v>
      </c>
      <c r="N17" s="2">
        <v>300</v>
      </c>
      <c r="O17" s="2">
        <v>14000</v>
      </c>
      <c r="P17" s="1">
        <v>1746.263107911135</v>
      </c>
      <c r="Q17" s="1">
        <v>5272.9377667620447</v>
      </c>
      <c r="R17" s="2">
        <v>2000</v>
      </c>
      <c r="S17" s="2">
        <v>15000</v>
      </c>
      <c r="T17" s="1">
        <v>14135.798874342227</v>
      </c>
      <c r="U17" s="2">
        <v>35000</v>
      </c>
      <c r="V17" s="10">
        <f t="shared" si="0"/>
        <v>162176.42555473646</v>
      </c>
      <c r="X17" s="37">
        <v>0</v>
      </c>
      <c r="Y17" s="37"/>
    </row>
    <row r="18" spans="1:25" x14ac:dyDescent="0.25">
      <c r="A18" s="6">
        <v>1975</v>
      </c>
      <c r="B18" s="1">
        <v>392.00256355115084</v>
      </c>
      <c r="C18" s="1">
        <v>1575.477277028441</v>
      </c>
      <c r="D18" s="2">
        <v>2773</v>
      </c>
      <c r="E18" s="1">
        <v>466.92993934134188</v>
      </c>
      <c r="F18" s="2">
        <v>5000</v>
      </c>
      <c r="G18" s="2">
        <v>500</v>
      </c>
      <c r="H18" s="2">
        <v>5000</v>
      </c>
      <c r="I18" s="1">
        <v>655.31769496497282</v>
      </c>
      <c r="J18" s="1">
        <v>454.94802075886821</v>
      </c>
      <c r="K18" s="1">
        <v>694.44049414836923</v>
      </c>
      <c r="L18" s="1">
        <v>1394.921621143299</v>
      </c>
      <c r="M18" s="2">
        <v>2000</v>
      </c>
      <c r="N18" s="1">
        <v>342.79857444042949</v>
      </c>
      <c r="O18" s="1">
        <v>2890.4787115433419</v>
      </c>
      <c r="P18" s="2">
        <v>500</v>
      </c>
      <c r="Q18" s="2">
        <v>500</v>
      </c>
      <c r="R18" s="2">
        <v>100</v>
      </c>
      <c r="S18" s="2">
        <v>1000</v>
      </c>
      <c r="T18" s="1">
        <v>2507.9264726848451</v>
      </c>
      <c r="U18" s="1">
        <v>1733.0611822403644</v>
      </c>
      <c r="V18" s="10">
        <f t="shared" si="0"/>
        <v>30481.302551845423</v>
      </c>
      <c r="X18" s="37">
        <v>0</v>
      </c>
      <c r="Y18" s="37"/>
    </row>
    <row r="19" spans="1:25" x14ac:dyDescent="0.25">
      <c r="A19" s="6">
        <v>1976</v>
      </c>
      <c r="B19" s="1">
        <v>1492.5009291354777</v>
      </c>
      <c r="C19" s="1">
        <v>5998.433476328606</v>
      </c>
      <c r="D19" s="2">
        <v>3308</v>
      </c>
      <c r="E19" s="1">
        <v>1777.7775789661205</v>
      </c>
      <c r="F19" s="2">
        <v>12000</v>
      </c>
      <c r="G19" s="2">
        <v>5000</v>
      </c>
      <c r="H19" s="2">
        <v>25000</v>
      </c>
      <c r="I19" s="1">
        <v>2495.0404912489739</v>
      </c>
      <c r="J19" s="1">
        <v>1732.1579165566557</v>
      </c>
      <c r="K19" s="2">
        <v>1500</v>
      </c>
      <c r="L19" s="2">
        <v>5000</v>
      </c>
      <c r="M19" s="2">
        <v>10000</v>
      </c>
      <c r="N19" s="2">
        <v>500</v>
      </c>
      <c r="O19" s="2">
        <v>11000</v>
      </c>
      <c r="P19" s="2">
        <v>500</v>
      </c>
      <c r="Q19" s="2">
        <v>1500</v>
      </c>
      <c r="R19" s="2">
        <v>5000</v>
      </c>
      <c r="S19" s="2">
        <v>5000</v>
      </c>
      <c r="T19" s="2">
        <v>3000</v>
      </c>
      <c r="U19" s="2">
        <v>7000</v>
      </c>
      <c r="V19" s="10">
        <f t="shared" si="0"/>
        <v>108803.91039223585</v>
      </c>
      <c r="X19" s="37">
        <v>0</v>
      </c>
      <c r="Y19" s="37"/>
    </row>
    <row r="20" spans="1:25" x14ac:dyDescent="0.25">
      <c r="A20" s="6">
        <v>1977</v>
      </c>
      <c r="B20" s="1">
        <v>3058.9002066103139</v>
      </c>
      <c r="C20" s="1">
        <v>12293.867993041271</v>
      </c>
      <c r="D20" s="2">
        <v>7619</v>
      </c>
      <c r="E20" s="1">
        <v>3643.578438114107</v>
      </c>
      <c r="F20" s="2">
        <v>8000</v>
      </c>
      <c r="G20" s="2">
        <v>5500</v>
      </c>
      <c r="H20" s="2">
        <v>4000</v>
      </c>
      <c r="I20" s="2">
        <v>5000</v>
      </c>
      <c r="J20" s="2">
        <v>10000</v>
      </c>
      <c r="K20" s="1">
        <v>5418.9037753569819</v>
      </c>
      <c r="L20" s="2">
        <v>10000</v>
      </c>
      <c r="M20" s="2">
        <v>7000</v>
      </c>
      <c r="N20" s="2">
        <v>1000</v>
      </c>
      <c r="O20" s="2">
        <v>13000</v>
      </c>
      <c r="P20" s="2">
        <v>300</v>
      </c>
      <c r="Q20" s="2">
        <v>12500</v>
      </c>
      <c r="R20" s="2">
        <v>1500</v>
      </c>
      <c r="S20" s="2">
        <v>2000</v>
      </c>
      <c r="T20" s="2">
        <v>70000</v>
      </c>
      <c r="U20" s="2">
        <v>42000</v>
      </c>
      <c r="V20" s="10">
        <f t="shared" si="0"/>
        <v>223834.25041312267</v>
      </c>
      <c r="X20" s="37">
        <v>0</v>
      </c>
      <c r="Y20" s="37"/>
    </row>
    <row r="21" spans="1:25" x14ac:dyDescent="0.25">
      <c r="A21" s="6">
        <v>1978</v>
      </c>
      <c r="B21" s="1">
        <v>5886.1123651014041</v>
      </c>
      <c r="C21" s="1">
        <v>23656.570511297588</v>
      </c>
      <c r="D21" s="2">
        <v>8760</v>
      </c>
      <c r="E21" s="1">
        <v>7011.1839726590979</v>
      </c>
      <c r="F21" s="2">
        <v>55000</v>
      </c>
      <c r="G21" s="2">
        <v>15000</v>
      </c>
      <c r="H21" s="2">
        <v>60000</v>
      </c>
      <c r="I21" s="2">
        <v>500</v>
      </c>
      <c r="J21" s="2">
        <v>7000</v>
      </c>
      <c r="K21" s="2">
        <v>1000</v>
      </c>
      <c r="L21" s="2">
        <v>22000</v>
      </c>
      <c r="M21" s="2">
        <v>20000</v>
      </c>
      <c r="N21" s="2">
        <v>1500</v>
      </c>
      <c r="O21" s="2">
        <v>41000</v>
      </c>
      <c r="P21" s="2">
        <v>2500</v>
      </c>
      <c r="Q21" s="2">
        <v>2000</v>
      </c>
      <c r="R21" s="2">
        <v>10000</v>
      </c>
      <c r="S21" s="2">
        <v>37000</v>
      </c>
      <c r="T21" s="2">
        <v>60000</v>
      </c>
      <c r="U21" s="2">
        <v>45000</v>
      </c>
      <c r="V21" s="10">
        <f t="shared" si="0"/>
        <v>424813.86684905807</v>
      </c>
      <c r="X21" s="37">
        <v>1526126</v>
      </c>
      <c r="Y21" s="37"/>
    </row>
    <row r="22" spans="1:25" x14ac:dyDescent="0.25">
      <c r="A22" s="6">
        <v>1979</v>
      </c>
      <c r="B22" s="2">
        <v>2000</v>
      </c>
      <c r="C22" s="1">
        <v>17079.646524510918</v>
      </c>
      <c r="D22" s="2">
        <v>4000</v>
      </c>
      <c r="E22" s="2">
        <v>4000</v>
      </c>
      <c r="F22" s="2">
        <v>27000</v>
      </c>
      <c r="G22" s="2">
        <v>15000</v>
      </c>
      <c r="H22" s="2">
        <v>25000</v>
      </c>
      <c r="I22" s="1">
        <v>7104.2564401819009</v>
      </c>
      <c r="J22" s="2">
        <v>500</v>
      </c>
      <c r="K22" s="2">
        <v>10000</v>
      </c>
      <c r="L22" s="2">
        <v>25000</v>
      </c>
      <c r="M22" s="2">
        <v>14000</v>
      </c>
      <c r="N22" s="2">
        <v>1500</v>
      </c>
      <c r="O22" s="2">
        <v>12000</v>
      </c>
      <c r="P22" s="2">
        <v>3000</v>
      </c>
      <c r="Q22" s="2">
        <v>5200</v>
      </c>
      <c r="R22" s="2">
        <v>13000</v>
      </c>
      <c r="S22" s="2">
        <v>17000</v>
      </c>
      <c r="T22" s="2">
        <v>20000</v>
      </c>
      <c r="U22" s="2">
        <v>82000</v>
      </c>
      <c r="V22" s="10">
        <f t="shared" si="0"/>
        <v>304383.9029646928</v>
      </c>
      <c r="X22" s="37">
        <v>0</v>
      </c>
      <c r="Y22" s="37"/>
    </row>
    <row r="23" spans="1:25" x14ac:dyDescent="0.25">
      <c r="A23" s="6">
        <v>1980</v>
      </c>
      <c r="B23" s="2">
        <v>2370</v>
      </c>
      <c r="C23" s="2">
        <v>6320</v>
      </c>
      <c r="D23" s="2">
        <v>7600</v>
      </c>
      <c r="E23" s="2">
        <v>3160</v>
      </c>
      <c r="F23" s="2">
        <v>14457</v>
      </c>
      <c r="G23" s="2">
        <v>1580</v>
      </c>
      <c r="H23" s="2">
        <v>18960</v>
      </c>
      <c r="I23" s="2">
        <v>2528</v>
      </c>
      <c r="J23" s="2">
        <v>790</v>
      </c>
      <c r="K23" s="2">
        <v>2212</v>
      </c>
      <c r="L23" s="2">
        <v>3160</v>
      </c>
      <c r="M23" s="2">
        <v>9006</v>
      </c>
      <c r="N23" s="2">
        <v>1185</v>
      </c>
      <c r="O23" s="2">
        <v>14220</v>
      </c>
      <c r="P23" s="2">
        <v>395</v>
      </c>
      <c r="Q23" s="2">
        <v>474</v>
      </c>
      <c r="R23" s="2">
        <v>6399</v>
      </c>
      <c r="S23" s="2">
        <v>10270</v>
      </c>
      <c r="T23" s="2">
        <v>47400</v>
      </c>
      <c r="U23" s="2">
        <v>11850</v>
      </c>
      <c r="V23" s="10">
        <f t="shared" si="0"/>
        <v>164336</v>
      </c>
      <c r="X23" s="37">
        <v>0</v>
      </c>
      <c r="Y23" s="37"/>
    </row>
    <row r="24" spans="1:25" x14ac:dyDescent="0.25">
      <c r="A24" s="6">
        <v>1981</v>
      </c>
      <c r="B24" s="2">
        <v>14220</v>
      </c>
      <c r="C24" s="2">
        <v>15800</v>
      </c>
      <c r="D24" s="2">
        <v>8297</v>
      </c>
      <c r="E24" s="2">
        <v>790</v>
      </c>
      <c r="F24" s="2">
        <v>26070</v>
      </c>
      <c r="G24" s="2">
        <v>7900</v>
      </c>
      <c r="H24" s="2">
        <v>19750</v>
      </c>
      <c r="I24" s="2">
        <v>5530</v>
      </c>
      <c r="J24" s="2">
        <v>1580</v>
      </c>
      <c r="K24" s="2">
        <v>6320</v>
      </c>
      <c r="L24" s="2">
        <v>7110</v>
      </c>
      <c r="M24" s="2">
        <v>3950</v>
      </c>
      <c r="N24" s="2">
        <v>158</v>
      </c>
      <c r="O24" s="2">
        <v>10270</v>
      </c>
      <c r="P24" s="2">
        <v>790</v>
      </c>
      <c r="Q24" s="2">
        <v>3950</v>
      </c>
      <c r="R24" s="2">
        <v>10270</v>
      </c>
      <c r="S24" s="2">
        <v>17380</v>
      </c>
      <c r="T24" s="2">
        <v>31600</v>
      </c>
      <c r="U24" s="2">
        <v>5530</v>
      </c>
      <c r="V24" s="10">
        <f t="shared" si="0"/>
        <v>197265</v>
      </c>
      <c r="X24" s="37">
        <v>72521</v>
      </c>
      <c r="Y24" s="37"/>
    </row>
    <row r="25" spans="1:25" x14ac:dyDescent="0.25">
      <c r="A25" s="6">
        <v>1982</v>
      </c>
      <c r="B25" s="2">
        <v>3950</v>
      </c>
      <c r="C25" s="2">
        <v>23700</v>
      </c>
      <c r="D25" s="2">
        <v>11555</v>
      </c>
      <c r="E25" s="2">
        <v>2528</v>
      </c>
      <c r="F25" s="2">
        <v>35550</v>
      </c>
      <c r="G25" s="2">
        <v>7110</v>
      </c>
      <c r="H25" s="2">
        <v>31600</v>
      </c>
      <c r="I25" s="2">
        <v>2370</v>
      </c>
      <c r="J25" s="2">
        <v>790</v>
      </c>
      <c r="K25" s="2">
        <v>7900</v>
      </c>
      <c r="L25" s="2">
        <v>18170</v>
      </c>
      <c r="M25" s="2">
        <v>8690</v>
      </c>
      <c r="N25" s="2">
        <v>1975</v>
      </c>
      <c r="O25" s="2">
        <v>30020</v>
      </c>
      <c r="P25" s="1">
        <v>2808.5824609402844</v>
      </c>
      <c r="Q25" s="2">
        <v>4740</v>
      </c>
      <c r="R25" s="2">
        <v>6873</v>
      </c>
      <c r="S25" s="2">
        <v>13430</v>
      </c>
      <c r="T25" s="2">
        <v>31600</v>
      </c>
      <c r="U25" s="2">
        <v>17380</v>
      </c>
      <c r="V25" s="10">
        <f t="shared" si="0"/>
        <v>262739.58246094029</v>
      </c>
      <c r="X25" s="37">
        <v>16859</v>
      </c>
      <c r="Y25" s="37"/>
    </row>
    <row r="26" spans="1:25" x14ac:dyDescent="0.25">
      <c r="A26" s="6">
        <v>1983</v>
      </c>
      <c r="B26" s="2">
        <v>3160</v>
      </c>
      <c r="C26" s="2">
        <v>23700</v>
      </c>
      <c r="D26" s="2">
        <v>9901</v>
      </c>
      <c r="E26" s="2">
        <v>2370</v>
      </c>
      <c r="F26" s="2">
        <v>23700</v>
      </c>
      <c r="G26" s="2">
        <v>8690</v>
      </c>
      <c r="H26" s="2">
        <v>18170</v>
      </c>
      <c r="I26" s="2">
        <v>1580</v>
      </c>
      <c r="J26" s="1">
        <v>4528.6545767634361</v>
      </c>
      <c r="K26" s="2">
        <v>7900</v>
      </c>
      <c r="L26" s="2">
        <v>7900</v>
      </c>
      <c r="M26" s="2">
        <v>23700</v>
      </c>
      <c r="N26" s="2">
        <v>3950</v>
      </c>
      <c r="O26" s="2">
        <v>40290</v>
      </c>
      <c r="P26" s="2">
        <v>4740</v>
      </c>
      <c r="Q26" s="2">
        <v>15958</v>
      </c>
      <c r="R26" s="2">
        <v>28440</v>
      </c>
      <c r="S26" s="2">
        <v>37920</v>
      </c>
      <c r="T26" s="2">
        <v>15800</v>
      </c>
      <c r="U26" s="2">
        <v>3318</v>
      </c>
      <c r="V26" s="10">
        <f t="shared" si="0"/>
        <v>285715.65457676345</v>
      </c>
      <c r="X26" s="37">
        <v>125184</v>
      </c>
      <c r="Y26" s="37"/>
    </row>
    <row r="27" spans="1:25" x14ac:dyDescent="0.25">
      <c r="A27" s="6">
        <v>1984</v>
      </c>
      <c r="B27" s="2">
        <v>7900</v>
      </c>
      <c r="C27" s="2">
        <v>3950</v>
      </c>
      <c r="D27" s="2">
        <v>10187</v>
      </c>
      <c r="E27" s="2">
        <v>1580</v>
      </c>
      <c r="F27" s="2">
        <v>27650</v>
      </c>
      <c r="G27" s="2">
        <v>7110</v>
      </c>
      <c r="H27" s="2">
        <v>33970</v>
      </c>
      <c r="I27" s="2">
        <v>15010</v>
      </c>
      <c r="J27" s="1">
        <v>4895.5366589358318</v>
      </c>
      <c r="K27" s="2">
        <v>11850</v>
      </c>
      <c r="L27" s="2">
        <v>15800</v>
      </c>
      <c r="M27" s="2">
        <v>23700</v>
      </c>
      <c r="N27" s="2">
        <v>7900</v>
      </c>
      <c r="O27" s="2">
        <v>31600</v>
      </c>
      <c r="P27" s="1">
        <v>3333.8238448904181</v>
      </c>
      <c r="Q27" s="2">
        <v>3160</v>
      </c>
      <c r="R27" s="2">
        <v>31600</v>
      </c>
      <c r="S27" s="2">
        <v>47400</v>
      </c>
      <c r="T27" s="2">
        <v>7900</v>
      </c>
      <c r="U27" s="2">
        <v>11850</v>
      </c>
      <c r="V27" s="10">
        <f t="shared" si="0"/>
        <v>308346.36050382629</v>
      </c>
      <c r="X27" s="37">
        <v>104773</v>
      </c>
      <c r="Y27" s="37"/>
    </row>
    <row r="28" spans="1:25" x14ac:dyDescent="0.25">
      <c r="A28" s="6">
        <v>1985</v>
      </c>
      <c r="B28" s="1">
        <v>4265.6380913176235</v>
      </c>
      <c r="C28" s="1">
        <v>17143.805968907855</v>
      </c>
      <c r="D28" s="2">
        <v>20286</v>
      </c>
      <c r="E28" s="2">
        <v>790</v>
      </c>
      <c r="F28" s="2">
        <v>37920</v>
      </c>
      <c r="G28" s="2">
        <v>5530</v>
      </c>
      <c r="H28" s="2">
        <v>27650</v>
      </c>
      <c r="I28" s="1">
        <v>7130.9434764280268</v>
      </c>
      <c r="J28" s="1">
        <v>4950.5890740340274</v>
      </c>
      <c r="K28" s="2">
        <v>13430</v>
      </c>
      <c r="L28" s="2">
        <v>16590</v>
      </c>
      <c r="M28" s="2">
        <v>26070</v>
      </c>
      <c r="N28" s="2">
        <v>2370</v>
      </c>
      <c r="O28" s="2">
        <v>31600</v>
      </c>
      <c r="P28" s="1">
        <v>3371.3141277587638</v>
      </c>
      <c r="Q28" s="2">
        <v>11850</v>
      </c>
      <c r="R28" s="2">
        <v>29230</v>
      </c>
      <c r="S28" s="2">
        <v>47400</v>
      </c>
      <c r="T28" s="2">
        <v>10270</v>
      </c>
      <c r="U28" s="2">
        <v>3950</v>
      </c>
      <c r="V28" s="10">
        <f t="shared" si="0"/>
        <v>321798.29073844629</v>
      </c>
      <c r="X28" s="37">
        <v>558100</v>
      </c>
      <c r="Y28" s="37"/>
    </row>
    <row r="29" spans="1:25" x14ac:dyDescent="0.25">
      <c r="A29" s="6">
        <v>1986</v>
      </c>
      <c r="B29" s="2">
        <v>158</v>
      </c>
      <c r="C29" s="1">
        <v>8898.5426151322554</v>
      </c>
      <c r="D29" s="2">
        <v>3000</v>
      </c>
      <c r="E29" s="1">
        <v>2637.2934882358813</v>
      </c>
      <c r="F29" s="2">
        <v>18170</v>
      </c>
      <c r="G29" s="2">
        <v>1975</v>
      </c>
      <c r="H29" s="2">
        <v>14220</v>
      </c>
      <c r="I29" s="2">
        <v>1185</v>
      </c>
      <c r="J29" s="2">
        <v>3950</v>
      </c>
      <c r="K29" s="2">
        <v>1580</v>
      </c>
      <c r="L29" s="2">
        <v>9480</v>
      </c>
      <c r="M29" s="2">
        <v>16590</v>
      </c>
      <c r="N29" s="2">
        <v>237</v>
      </c>
      <c r="O29" s="2">
        <v>24095</v>
      </c>
      <c r="P29" s="2">
        <v>790</v>
      </c>
      <c r="Q29" s="2">
        <v>2370</v>
      </c>
      <c r="R29" s="2">
        <v>8690</v>
      </c>
      <c r="S29" s="2">
        <v>34760</v>
      </c>
      <c r="T29" s="2">
        <v>3160</v>
      </c>
      <c r="U29" s="2">
        <v>3555</v>
      </c>
      <c r="V29" s="10">
        <f t="shared" si="0"/>
        <v>159500.83610336814</v>
      </c>
      <c r="X29" s="37">
        <v>9674</v>
      </c>
      <c r="Y29" s="37"/>
    </row>
    <row r="30" spans="1:25" x14ac:dyDescent="0.25">
      <c r="A30" s="6">
        <v>1987</v>
      </c>
      <c r="B30" s="2">
        <v>1580</v>
      </c>
      <c r="C30" s="2">
        <v>7110</v>
      </c>
      <c r="D30" s="2">
        <v>13018</v>
      </c>
      <c r="E30" s="2">
        <v>2370</v>
      </c>
      <c r="F30" s="2">
        <v>23700</v>
      </c>
      <c r="G30" s="2">
        <v>2765</v>
      </c>
      <c r="H30" s="2">
        <v>13430</v>
      </c>
      <c r="I30" s="2">
        <v>11850</v>
      </c>
      <c r="J30" s="2">
        <v>1580</v>
      </c>
      <c r="K30" s="2">
        <v>6320</v>
      </c>
      <c r="L30" s="2">
        <v>7110</v>
      </c>
      <c r="M30" s="2">
        <v>11060</v>
      </c>
      <c r="N30" s="2">
        <v>6320</v>
      </c>
      <c r="O30" s="2">
        <v>36340</v>
      </c>
      <c r="P30" s="2">
        <v>5135</v>
      </c>
      <c r="Q30" s="2">
        <v>11850</v>
      </c>
      <c r="R30" s="2">
        <v>31600</v>
      </c>
      <c r="S30" s="2">
        <v>31837</v>
      </c>
      <c r="T30" s="2">
        <v>6320</v>
      </c>
      <c r="U30" s="2">
        <v>8690</v>
      </c>
      <c r="V30" s="10">
        <f t="shared" si="0"/>
        <v>239985</v>
      </c>
      <c r="X30" s="37">
        <v>126430</v>
      </c>
      <c r="Y30" s="37"/>
    </row>
    <row r="31" spans="1:25" x14ac:dyDescent="0.25">
      <c r="A31" s="6">
        <v>1988</v>
      </c>
      <c r="B31" s="2">
        <v>316</v>
      </c>
      <c r="C31" s="2">
        <v>5530</v>
      </c>
      <c r="D31" s="2">
        <v>8773</v>
      </c>
      <c r="E31" s="1">
        <v>2616.1887039234025</v>
      </c>
      <c r="F31" s="2">
        <v>15800</v>
      </c>
      <c r="G31" s="1">
        <v>3796.2587649389175</v>
      </c>
      <c r="H31" s="2">
        <v>9480</v>
      </c>
      <c r="I31" s="2">
        <v>4740</v>
      </c>
      <c r="J31" s="2">
        <v>790</v>
      </c>
      <c r="K31" s="2">
        <v>6320</v>
      </c>
      <c r="L31" s="2">
        <v>9480</v>
      </c>
      <c r="M31" s="2">
        <v>10270</v>
      </c>
      <c r="N31" s="2">
        <v>2370</v>
      </c>
      <c r="O31" s="2">
        <v>27650</v>
      </c>
      <c r="P31" s="2">
        <v>2370</v>
      </c>
      <c r="Q31" s="2">
        <v>4740</v>
      </c>
      <c r="R31" s="2">
        <v>11850</v>
      </c>
      <c r="S31" s="2">
        <v>31600</v>
      </c>
      <c r="T31" s="2">
        <v>3950</v>
      </c>
      <c r="U31" s="2">
        <v>1580</v>
      </c>
      <c r="V31" s="10">
        <f t="shared" si="0"/>
        <v>164021.44746886232</v>
      </c>
      <c r="X31" s="37">
        <v>1930</v>
      </c>
      <c r="Y31" s="37"/>
    </row>
    <row r="32" spans="1:25" x14ac:dyDescent="0.25">
      <c r="A32" s="6">
        <v>1989</v>
      </c>
      <c r="B32" s="2">
        <v>1580</v>
      </c>
      <c r="C32" s="2">
        <v>14220</v>
      </c>
      <c r="D32" s="2">
        <v>13752</v>
      </c>
      <c r="E32" s="2">
        <v>9480</v>
      </c>
      <c r="F32" s="2">
        <v>42660</v>
      </c>
      <c r="G32" s="2">
        <v>5530</v>
      </c>
      <c r="H32" s="2">
        <v>14220</v>
      </c>
      <c r="I32" s="2">
        <v>3160</v>
      </c>
      <c r="J32" s="1">
        <v>3555.2836217942377</v>
      </c>
      <c r="K32" s="2">
        <v>4108</v>
      </c>
      <c r="L32" s="2">
        <v>1580</v>
      </c>
      <c r="M32" s="2">
        <v>3160</v>
      </c>
      <c r="N32" s="1">
        <v>2678.8690174354592</v>
      </c>
      <c r="O32" s="2">
        <v>20540</v>
      </c>
      <c r="P32" s="2">
        <v>790</v>
      </c>
      <c r="Q32" s="2">
        <v>3160</v>
      </c>
      <c r="R32" s="2">
        <v>21330</v>
      </c>
      <c r="S32" s="2">
        <v>27650</v>
      </c>
      <c r="T32" s="2">
        <v>30810</v>
      </c>
      <c r="U32" s="2">
        <v>6320</v>
      </c>
      <c r="V32" s="10">
        <f t="shared" si="0"/>
        <v>230284.15263922969</v>
      </c>
      <c r="X32" s="37">
        <v>614499</v>
      </c>
      <c r="Y32" s="37"/>
    </row>
    <row r="33" spans="1:25" x14ac:dyDescent="0.25">
      <c r="A33" s="6">
        <v>1990</v>
      </c>
      <c r="B33" s="2">
        <v>790</v>
      </c>
      <c r="C33" s="2">
        <v>19750</v>
      </c>
      <c r="D33" s="2">
        <v>13118</v>
      </c>
      <c r="E33" s="1">
        <v>4178.7438254965509</v>
      </c>
      <c r="F33" s="2">
        <v>14220</v>
      </c>
      <c r="G33" s="2">
        <v>2054</v>
      </c>
      <c r="H33" s="2">
        <v>16590</v>
      </c>
      <c r="I33" s="2">
        <v>7900</v>
      </c>
      <c r="J33" s="2">
        <v>20540</v>
      </c>
      <c r="K33" s="2">
        <v>7900</v>
      </c>
      <c r="L33" s="2">
        <v>15800</v>
      </c>
      <c r="M33" s="2">
        <v>22120</v>
      </c>
      <c r="N33" s="2">
        <v>3950</v>
      </c>
      <c r="O33" s="2">
        <v>22910</v>
      </c>
      <c r="P33" s="2">
        <v>3160</v>
      </c>
      <c r="Q33" s="2">
        <v>5530</v>
      </c>
      <c r="R33" s="2">
        <v>16590</v>
      </c>
      <c r="S33" s="2">
        <v>36340</v>
      </c>
      <c r="T33" s="2">
        <v>11850</v>
      </c>
      <c r="U33" s="2">
        <v>15800</v>
      </c>
      <c r="V33" s="10">
        <f t="shared" si="0"/>
        <v>261090.74382549655</v>
      </c>
      <c r="X33" s="37">
        <v>95450</v>
      </c>
      <c r="Y33" s="37"/>
    </row>
    <row r="34" spans="1:25" x14ac:dyDescent="0.25">
      <c r="A34" s="6">
        <v>1991</v>
      </c>
      <c r="B34" s="2">
        <v>3160</v>
      </c>
      <c r="C34" s="2">
        <v>15800</v>
      </c>
      <c r="D34" s="2">
        <v>17141</v>
      </c>
      <c r="E34" s="2">
        <v>9480</v>
      </c>
      <c r="F34" s="2">
        <v>44240</v>
      </c>
      <c r="G34" s="2">
        <v>9480</v>
      </c>
      <c r="H34" s="2">
        <v>19750</v>
      </c>
      <c r="I34" s="2">
        <v>8690</v>
      </c>
      <c r="J34" s="2">
        <v>1185</v>
      </c>
      <c r="K34" s="2">
        <v>7900</v>
      </c>
      <c r="L34" s="2">
        <v>11850</v>
      </c>
      <c r="M34" s="2">
        <v>19750</v>
      </c>
      <c r="N34" s="2">
        <v>2370</v>
      </c>
      <c r="O34" s="2">
        <v>31600</v>
      </c>
      <c r="P34" s="2">
        <v>5530</v>
      </c>
      <c r="Q34" s="2">
        <v>9480</v>
      </c>
      <c r="R34" s="2">
        <v>28440</v>
      </c>
      <c r="S34" s="2">
        <v>45820</v>
      </c>
      <c r="T34" s="2">
        <v>15800</v>
      </c>
      <c r="U34" s="2">
        <v>19750</v>
      </c>
      <c r="V34" s="10">
        <f t="shared" si="0"/>
        <v>327216</v>
      </c>
      <c r="X34" s="37">
        <v>235116</v>
      </c>
      <c r="Y34" s="37"/>
    </row>
    <row r="35" spans="1:25" x14ac:dyDescent="0.25">
      <c r="A35" s="6">
        <v>1992</v>
      </c>
      <c r="B35" s="1">
        <v>5421.4718357077345</v>
      </c>
      <c r="C35" s="2">
        <v>20000</v>
      </c>
      <c r="D35" s="2">
        <v>18098</v>
      </c>
      <c r="E35" s="1">
        <v>6457.7320476189198</v>
      </c>
      <c r="F35" s="2">
        <v>25000</v>
      </c>
      <c r="G35" s="2">
        <v>1580</v>
      </c>
      <c r="H35" s="2">
        <v>37000</v>
      </c>
      <c r="I35" s="2">
        <v>8690</v>
      </c>
      <c r="J35" s="1">
        <v>6292.0197788997693</v>
      </c>
      <c r="K35" s="2">
        <v>2370</v>
      </c>
      <c r="L35" s="2">
        <v>20000</v>
      </c>
      <c r="M35" s="2">
        <v>37000</v>
      </c>
      <c r="N35" s="2">
        <v>2500</v>
      </c>
      <c r="O35" s="2">
        <v>55000</v>
      </c>
      <c r="P35" s="2">
        <v>7900</v>
      </c>
      <c r="Q35" s="2">
        <v>15000</v>
      </c>
      <c r="R35" s="2">
        <v>39000</v>
      </c>
      <c r="S35" s="2">
        <v>51000</v>
      </c>
      <c r="T35" s="2">
        <v>29000</v>
      </c>
      <c r="U35" s="2">
        <v>14000</v>
      </c>
      <c r="V35" s="10">
        <f t="shared" ref="V35:V59" si="1">SUM(B35:U35)</f>
        <v>401309.22366222646</v>
      </c>
      <c r="X35" s="37">
        <v>167116</v>
      </c>
      <c r="Y35" s="37"/>
    </row>
    <row r="36" spans="1:25" x14ac:dyDescent="0.25">
      <c r="A36" s="6">
        <v>1993</v>
      </c>
      <c r="B36" s="2">
        <v>8000</v>
      </c>
      <c r="C36" s="2">
        <v>12000</v>
      </c>
      <c r="D36" s="2">
        <v>17512</v>
      </c>
      <c r="E36" s="2">
        <v>15800</v>
      </c>
      <c r="F36" s="2">
        <v>42500</v>
      </c>
      <c r="G36" s="2">
        <v>15000</v>
      </c>
      <c r="H36" s="2">
        <v>18000</v>
      </c>
      <c r="I36" s="2">
        <v>5000</v>
      </c>
      <c r="J36" s="1">
        <v>8566.3157108153846</v>
      </c>
      <c r="K36" s="1">
        <v>13075.771833157087</v>
      </c>
      <c r="L36" s="2">
        <v>27000</v>
      </c>
      <c r="M36" s="2">
        <v>21000</v>
      </c>
      <c r="N36" s="2">
        <v>22000</v>
      </c>
      <c r="O36" s="2">
        <v>46000</v>
      </c>
      <c r="P36" s="1">
        <v>5833.5969208633542</v>
      </c>
      <c r="Q36" s="2">
        <v>33000</v>
      </c>
      <c r="R36" s="2">
        <v>50000</v>
      </c>
      <c r="S36" s="2">
        <v>96000</v>
      </c>
      <c r="T36" s="2">
        <v>63200</v>
      </c>
      <c r="U36" s="2">
        <v>19750</v>
      </c>
      <c r="V36" s="10">
        <f t="shared" si="1"/>
        <v>539237.68446483579</v>
      </c>
      <c r="X36" s="37">
        <v>551282</v>
      </c>
      <c r="Y36" s="37"/>
    </row>
    <row r="37" spans="1:25" x14ac:dyDescent="0.25">
      <c r="A37" s="6">
        <v>1994</v>
      </c>
      <c r="B37" s="2">
        <v>2000</v>
      </c>
      <c r="C37" s="2">
        <v>40000</v>
      </c>
      <c r="D37" s="2">
        <v>30065</v>
      </c>
      <c r="E37" s="1">
        <v>8865.3574378674693</v>
      </c>
      <c r="F37" s="2">
        <v>22000</v>
      </c>
      <c r="G37" s="2">
        <v>3160</v>
      </c>
      <c r="H37" s="2">
        <v>17000</v>
      </c>
      <c r="I37" s="2">
        <v>14000</v>
      </c>
      <c r="J37" s="1">
        <v>8637.8629424362571</v>
      </c>
      <c r="K37" s="2">
        <v>11060</v>
      </c>
      <c r="L37" s="2">
        <v>45000</v>
      </c>
      <c r="M37" s="2">
        <v>28000</v>
      </c>
      <c r="N37" s="2">
        <v>11000</v>
      </c>
      <c r="O37" s="2">
        <v>63000</v>
      </c>
      <c r="P37" s="2">
        <v>7110</v>
      </c>
      <c r="Q37" s="2">
        <v>35000</v>
      </c>
      <c r="R37" s="2">
        <v>59250</v>
      </c>
      <c r="S37" s="2">
        <v>110000</v>
      </c>
      <c r="T37" s="2">
        <v>25000</v>
      </c>
      <c r="U37" s="2">
        <v>16000</v>
      </c>
      <c r="V37" s="10">
        <f t="shared" si="1"/>
        <v>556148.22038030368</v>
      </c>
      <c r="X37" s="37">
        <v>1243161</v>
      </c>
      <c r="Y37" s="37"/>
    </row>
    <row r="38" spans="1:25" x14ac:dyDescent="0.25">
      <c r="A38" s="6">
        <v>1995</v>
      </c>
      <c r="B38" s="2">
        <v>2000</v>
      </c>
      <c r="C38" s="2">
        <v>10000</v>
      </c>
      <c r="D38" s="2">
        <v>14786</v>
      </c>
      <c r="E38" s="1">
        <v>1822.6856021733056</v>
      </c>
      <c r="F38" s="2">
        <v>7000</v>
      </c>
      <c r="G38" s="2">
        <v>100</v>
      </c>
      <c r="H38" s="2">
        <v>3000</v>
      </c>
      <c r="I38" s="2">
        <v>3000</v>
      </c>
      <c r="J38" s="2">
        <v>400</v>
      </c>
      <c r="K38" s="2">
        <v>4500</v>
      </c>
      <c r="L38" s="2">
        <v>4000</v>
      </c>
      <c r="M38" s="2">
        <v>3500</v>
      </c>
      <c r="N38" s="1">
        <v>1338.1322838378351</v>
      </c>
      <c r="O38" s="2">
        <v>15000</v>
      </c>
      <c r="P38" s="2">
        <v>1000</v>
      </c>
      <c r="Q38" s="2">
        <v>5500</v>
      </c>
      <c r="R38" s="2">
        <v>14000</v>
      </c>
      <c r="S38" s="2">
        <v>17000</v>
      </c>
      <c r="T38" s="2">
        <v>3000</v>
      </c>
      <c r="U38" s="2">
        <v>12000</v>
      </c>
      <c r="V38" s="10">
        <f t="shared" si="1"/>
        <v>122946.81788601114</v>
      </c>
      <c r="X38" s="37">
        <v>32668</v>
      </c>
      <c r="Y38" s="37"/>
    </row>
    <row r="39" spans="1:25" x14ac:dyDescent="0.25">
      <c r="A39" s="6">
        <v>1996</v>
      </c>
      <c r="B39" s="2">
        <v>5900</v>
      </c>
      <c r="C39" s="2">
        <v>37000</v>
      </c>
      <c r="D39" s="2">
        <v>21885</v>
      </c>
      <c r="E39" s="2">
        <v>8000</v>
      </c>
      <c r="F39" s="2">
        <v>16000</v>
      </c>
      <c r="G39" s="2">
        <v>4000</v>
      </c>
      <c r="H39" s="2">
        <v>16000</v>
      </c>
      <c r="I39" s="2">
        <v>16000</v>
      </c>
      <c r="J39" s="2">
        <v>7500</v>
      </c>
      <c r="K39" s="2">
        <v>18000</v>
      </c>
      <c r="L39" s="2">
        <v>12000</v>
      </c>
      <c r="M39" s="2">
        <v>17000</v>
      </c>
      <c r="N39" s="2">
        <v>1000</v>
      </c>
      <c r="O39" s="2">
        <v>48000</v>
      </c>
      <c r="P39" s="2">
        <v>2500</v>
      </c>
      <c r="Q39" s="2">
        <v>11000</v>
      </c>
      <c r="R39" s="2">
        <v>28000</v>
      </c>
      <c r="S39" s="2">
        <v>49000</v>
      </c>
      <c r="T39" s="2">
        <v>6000</v>
      </c>
      <c r="U39" s="2">
        <v>26000</v>
      </c>
      <c r="V39" s="10">
        <f t="shared" si="1"/>
        <v>350785</v>
      </c>
      <c r="X39" s="37">
        <v>76628</v>
      </c>
      <c r="Y39" s="37"/>
    </row>
    <row r="40" spans="1:25" x14ac:dyDescent="0.25">
      <c r="A40" s="6">
        <v>1997</v>
      </c>
      <c r="B40" s="2">
        <v>7000</v>
      </c>
      <c r="C40" s="2">
        <v>10000</v>
      </c>
      <c r="D40" s="2">
        <v>13000</v>
      </c>
      <c r="E40" s="1">
        <v>4973.3278573640564</v>
      </c>
      <c r="F40" s="2">
        <v>24000</v>
      </c>
      <c r="G40" s="2">
        <v>6000</v>
      </c>
      <c r="H40" s="2">
        <v>6000</v>
      </c>
      <c r="I40" s="2">
        <v>13000</v>
      </c>
      <c r="J40" s="2">
        <v>2000</v>
      </c>
      <c r="K40" s="2">
        <v>12000</v>
      </c>
      <c r="L40" s="2">
        <v>12500</v>
      </c>
      <c r="M40" s="2">
        <v>8000</v>
      </c>
      <c r="N40" s="1">
        <v>3651.1895173337507</v>
      </c>
      <c r="O40" s="2">
        <v>18000</v>
      </c>
      <c r="P40" s="2">
        <v>2000</v>
      </c>
      <c r="Q40" s="2">
        <v>19000</v>
      </c>
      <c r="R40" s="2">
        <v>25000</v>
      </c>
      <c r="S40" s="2">
        <v>55000</v>
      </c>
      <c r="T40" s="2">
        <v>20000</v>
      </c>
      <c r="U40" s="2">
        <v>47000</v>
      </c>
      <c r="V40" s="10">
        <f t="shared" si="1"/>
        <v>308124.51737469784</v>
      </c>
      <c r="X40" s="37">
        <v>111010</v>
      </c>
      <c r="Y40" s="115"/>
    </row>
    <row r="41" spans="1:25" x14ac:dyDescent="0.25">
      <c r="A41" s="7">
        <v>1998</v>
      </c>
      <c r="B41" s="3">
        <v>7000</v>
      </c>
      <c r="C41" s="3">
        <v>30000</v>
      </c>
      <c r="D41" s="2">
        <v>18000</v>
      </c>
      <c r="E41" s="3">
        <v>14000</v>
      </c>
      <c r="F41" s="3">
        <v>38700</v>
      </c>
      <c r="G41" s="3">
        <v>4000</v>
      </c>
      <c r="H41" s="3">
        <v>16000</v>
      </c>
      <c r="I41" s="3">
        <v>9000</v>
      </c>
      <c r="J41" s="3">
        <v>3000</v>
      </c>
      <c r="K41" s="3">
        <v>21000</v>
      </c>
      <c r="L41" s="3">
        <v>23000</v>
      </c>
      <c r="M41" s="3">
        <v>24000</v>
      </c>
      <c r="N41" s="1">
        <v>6191.8833687056185</v>
      </c>
      <c r="O41" s="3">
        <v>50000</v>
      </c>
      <c r="P41" s="1">
        <v>5596.1311188816335</v>
      </c>
      <c r="Q41" s="3">
        <v>19000</v>
      </c>
      <c r="R41" s="3">
        <v>23000</v>
      </c>
      <c r="S41" s="3">
        <v>90000</v>
      </c>
      <c r="T41" s="3">
        <v>38000</v>
      </c>
      <c r="U41" s="3">
        <v>79000</v>
      </c>
      <c r="V41" s="10">
        <f t="shared" si="1"/>
        <v>518488.01448758726</v>
      </c>
      <c r="X41" s="37">
        <v>178760</v>
      </c>
      <c r="Y41" s="37"/>
    </row>
    <row r="42" spans="1:25" x14ac:dyDescent="0.25">
      <c r="A42" s="8">
        <v>1999</v>
      </c>
      <c r="B42" s="3">
        <v>42000</v>
      </c>
      <c r="C42" s="3">
        <v>25000</v>
      </c>
      <c r="D42" s="2">
        <v>37000</v>
      </c>
      <c r="E42" s="1">
        <v>14705.74821105969</v>
      </c>
      <c r="F42" s="3">
        <v>95000</v>
      </c>
      <c r="G42" s="3">
        <v>9000</v>
      </c>
      <c r="H42" s="3">
        <v>33000</v>
      </c>
      <c r="I42" s="3">
        <v>16000</v>
      </c>
      <c r="J42" s="3">
        <v>13000</v>
      </c>
      <c r="K42" s="3">
        <v>13000</v>
      </c>
      <c r="L42" s="3">
        <v>15000</v>
      </c>
      <c r="M42" s="3">
        <v>13000</v>
      </c>
      <c r="N42" s="1">
        <v>10400.964178399379</v>
      </c>
      <c r="O42" s="3">
        <v>31600</v>
      </c>
      <c r="P42" s="3">
        <v>16000</v>
      </c>
      <c r="Q42" s="3">
        <v>46000</v>
      </c>
      <c r="R42" s="3">
        <v>50000</v>
      </c>
      <c r="S42" s="3">
        <v>57000</v>
      </c>
      <c r="T42" s="3">
        <v>81000</v>
      </c>
      <c r="U42" s="3">
        <v>260000</v>
      </c>
      <c r="V42" s="10">
        <f t="shared" si="1"/>
        <v>877706.71238945914</v>
      </c>
      <c r="X42" s="37">
        <v>1101131</v>
      </c>
      <c r="Y42" s="37"/>
    </row>
    <row r="43" spans="1:25" x14ac:dyDescent="0.25">
      <c r="A43" s="8">
        <v>2000</v>
      </c>
      <c r="B43" s="1">
        <v>10646.5646200429</v>
      </c>
      <c r="C43" s="1">
        <v>33623.145833444592</v>
      </c>
      <c r="D43" s="2">
        <v>17841</v>
      </c>
      <c r="E43" s="1">
        <v>10766.129261005139</v>
      </c>
      <c r="F43" s="3">
        <v>35000</v>
      </c>
      <c r="G43" s="1">
        <v>13771.909492864948</v>
      </c>
      <c r="H43" s="3">
        <v>37000</v>
      </c>
      <c r="I43" s="1">
        <v>14122.592876057723</v>
      </c>
      <c r="J43" s="3">
        <v>4500</v>
      </c>
      <c r="K43" s="3">
        <v>10000</v>
      </c>
      <c r="L43" s="3">
        <v>25000</v>
      </c>
      <c r="M43" s="3">
        <v>14000</v>
      </c>
      <c r="N43" s="3">
        <v>4500</v>
      </c>
      <c r="O43" s="3">
        <v>38000</v>
      </c>
      <c r="P43" s="3">
        <v>23000</v>
      </c>
      <c r="Q43" s="3">
        <v>28000</v>
      </c>
      <c r="R43" s="3">
        <v>59000</v>
      </c>
      <c r="S43" s="3">
        <v>155000</v>
      </c>
      <c r="T43" s="1">
        <v>55553.957410981886</v>
      </c>
      <c r="U43" s="3">
        <v>44000</v>
      </c>
      <c r="V43" s="10">
        <f t="shared" si="1"/>
        <v>633325.29949439713</v>
      </c>
      <c r="X43" s="37">
        <v>652730</v>
      </c>
      <c r="Y43" s="37"/>
    </row>
    <row r="44" spans="1:25" x14ac:dyDescent="0.25">
      <c r="A44" s="8">
        <v>2001</v>
      </c>
      <c r="B44" s="3">
        <v>12000</v>
      </c>
      <c r="C44" s="3">
        <v>6000</v>
      </c>
      <c r="D44" s="3">
        <v>24587</v>
      </c>
      <c r="E44" s="3">
        <v>7691.6392273282463</v>
      </c>
      <c r="F44" s="3">
        <v>82000</v>
      </c>
      <c r="G44" s="3">
        <v>9839.0569835583374</v>
      </c>
      <c r="H44" s="3">
        <v>49000</v>
      </c>
      <c r="I44" s="3">
        <v>12000</v>
      </c>
      <c r="J44" s="3">
        <v>12000</v>
      </c>
      <c r="K44" s="3">
        <v>6500</v>
      </c>
      <c r="L44" s="3">
        <v>15000</v>
      </c>
      <c r="M44" s="3">
        <v>8000</v>
      </c>
      <c r="N44" s="3">
        <v>7000</v>
      </c>
      <c r="O44" s="3">
        <v>74000</v>
      </c>
      <c r="P44" s="3">
        <v>6000</v>
      </c>
      <c r="Q44" s="3">
        <v>10000</v>
      </c>
      <c r="R44" s="3">
        <v>26000</v>
      </c>
      <c r="S44" s="3">
        <v>32000</v>
      </c>
      <c r="T44" s="3">
        <v>39689.380249863876</v>
      </c>
      <c r="U44" s="3">
        <v>25000</v>
      </c>
      <c r="V44" s="10">
        <f t="shared" si="1"/>
        <v>464307.07646075048</v>
      </c>
      <c r="W44" s="65"/>
      <c r="X44" s="64">
        <v>215387</v>
      </c>
      <c r="Y44" s="64"/>
    </row>
    <row r="45" spans="1:25" x14ac:dyDescent="0.25">
      <c r="A45" s="9">
        <v>2002</v>
      </c>
      <c r="B45" s="5">
        <v>14827</v>
      </c>
      <c r="C45" s="5">
        <v>15730</v>
      </c>
      <c r="D45" s="2">
        <v>25525</v>
      </c>
      <c r="E45" s="1">
        <v>9171.6668389323531</v>
      </c>
      <c r="F45" s="5">
        <v>15730</v>
      </c>
      <c r="G45" s="5">
        <v>10890</v>
      </c>
      <c r="H45" s="5">
        <v>15730</v>
      </c>
      <c r="I45" s="1">
        <v>12125.662787531637</v>
      </c>
      <c r="J45" s="1">
        <v>8269.9595977822828</v>
      </c>
      <c r="K45" s="5">
        <v>15730</v>
      </c>
      <c r="L45" s="5">
        <v>15730</v>
      </c>
      <c r="M45" s="5">
        <v>27830</v>
      </c>
      <c r="N45" s="5">
        <v>9680</v>
      </c>
      <c r="O45" s="5">
        <v>75020</v>
      </c>
      <c r="P45" s="5">
        <v>10890</v>
      </c>
      <c r="Q45" s="5">
        <v>13310</v>
      </c>
      <c r="R45" s="5">
        <v>29040</v>
      </c>
      <c r="S45" s="5">
        <v>125840</v>
      </c>
      <c r="T45" s="1">
        <v>47326.423139106111</v>
      </c>
      <c r="U45" s="5">
        <v>57000</v>
      </c>
      <c r="V45" s="10">
        <f t="shared" si="1"/>
        <v>555395.71236335242</v>
      </c>
      <c r="X45" s="37">
        <v>407705</v>
      </c>
      <c r="Y45" s="37"/>
    </row>
    <row r="46" spans="1:25" x14ac:dyDescent="0.25">
      <c r="A46" s="9">
        <v>2003</v>
      </c>
      <c r="B46" s="5">
        <v>28080</v>
      </c>
      <c r="C46" s="5">
        <v>42120</v>
      </c>
      <c r="D46" s="2">
        <v>95000</v>
      </c>
      <c r="E46" s="4">
        <v>23516.87935565021</v>
      </c>
      <c r="F46" s="5">
        <v>319410</v>
      </c>
      <c r="G46" s="5">
        <v>21060</v>
      </c>
      <c r="H46" s="5">
        <v>80000</v>
      </c>
      <c r="I46" s="5">
        <v>114660</v>
      </c>
      <c r="J46" s="5">
        <v>33930</v>
      </c>
      <c r="K46" s="5">
        <v>16380</v>
      </c>
      <c r="L46" s="5">
        <v>56160</v>
      </c>
      <c r="M46" s="5">
        <v>19000</v>
      </c>
      <c r="N46" s="5">
        <v>21060</v>
      </c>
      <c r="O46" s="5">
        <v>143910</v>
      </c>
      <c r="P46" s="5">
        <v>10530</v>
      </c>
      <c r="Q46" s="5">
        <v>62010</v>
      </c>
      <c r="R46" s="5">
        <v>52650</v>
      </c>
      <c r="S46" s="5">
        <v>217620</v>
      </c>
      <c r="T46" s="5">
        <v>30000</v>
      </c>
      <c r="U46" s="5">
        <v>53000</v>
      </c>
      <c r="V46" s="10">
        <f t="shared" si="1"/>
        <v>1440096.8793556502</v>
      </c>
      <c r="X46" s="37">
        <v>481238</v>
      </c>
      <c r="Y46" s="37"/>
    </row>
    <row r="47" spans="1:25" x14ac:dyDescent="0.25">
      <c r="A47" s="8">
        <v>2004</v>
      </c>
      <c r="B47" s="5">
        <v>15000</v>
      </c>
      <c r="C47" s="5">
        <v>31000</v>
      </c>
      <c r="D47" s="2">
        <v>25000</v>
      </c>
      <c r="E47" s="17">
        <v>36500</v>
      </c>
      <c r="F47" s="5">
        <v>22000</v>
      </c>
      <c r="G47" s="5">
        <v>3000</v>
      </c>
      <c r="H47" s="5">
        <v>15000</v>
      </c>
      <c r="I47" s="5">
        <v>36600</v>
      </c>
      <c r="J47" s="5">
        <v>20900</v>
      </c>
      <c r="K47" s="5">
        <v>8000</v>
      </c>
      <c r="L47" s="5">
        <v>36000</v>
      </c>
      <c r="M47" s="5">
        <v>24100</v>
      </c>
      <c r="N47" s="5">
        <v>30000</v>
      </c>
      <c r="O47" s="5">
        <v>78000</v>
      </c>
      <c r="P47" s="13">
        <v>24000</v>
      </c>
      <c r="Q47" s="13">
        <v>29000</v>
      </c>
      <c r="R47" s="13">
        <v>30000</v>
      </c>
      <c r="S47" s="5">
        <v>44000</v>
      </c>
      <c r="T47" s="5">
        <v>17000</v>
      </c>
      <c r="U47" s="5">
        <v>25150</v>
      </c>
      <c r="V47" s="10">
        <f t="shared" si="1"/>
        <v>550250</v>
      </c>
      <c r="X47" s="37">
        <v>2049835</v>
      </c>
      <c r="Y47" s="37"/>
    </row>
    <row r="48" spans="1:25" x14ac:dyDescent="0.25">
      <c r="A48" s="8">
        <v>2005</v>
      </c>
      <c r="B48" s="5">
        <v>20000</v>
      </c>
      <c r="C48" s="5">
        <v>10000</v>
      </c>
      <c r="D48" s="2">
        <v>28000</v>
      </c>
      <c r="E48" s="18">
        <v>18000</v>
      </c>
      <c r="F48" s="5">
        <v>146000</v>
      </c>
      <c r="G48" s="5">
        <v>18000</v>
      </c>
      <c r="H48" s="5">
        <v>30000</v>
      </c>
      <c r="I48" s="5">
        <v>30000</v>
      </c>
      <c r="J48" s="5">
        <v>12000</v>
      </c>
      <c r="K48" s="5">
        <v>24000</v>
      </c>
      <c r="L48" s="5">
        <v>50000</v>
      </c>
      <c r="M48" s="5">
        <v>38000</v>
      </c>
      <c r="N48" s="5">
        <v>23000</v>
      </c>
      <c r="O48" s="5">
        <v>37000</v>
      </c>
      <c r="P48" s="5">
        <v>10000</v>
      </c>
      <c r="Q48" s="5">
        <v>24000</v>
      </c>
      <c r="R48" s="5">
        <v>19000</v>
      </c>
      <c r="S48" s="5">
        <v>52000</v>
      </c>
      <c r="T48" s="5">
        <v>45000</v>
      </c>
      <c r="U48" s="5">
        <v>80000</v>
      </c>
      <c r="V48" s="10">
        <f t="shared" si="1"/>
        <v>714000</v>
      </c>
      <c r="X48" s="37">
        <v>274630</v>
      </c>
      <c r="Y48" s="37"/>
    </row>
    <row r="49" spans="1:27" x14ac:dyDescent="0.25">
      <c r="A49" s="9">
        <v>2006</v>
      </c>
      <c r="B49" s="11">
        <v>19000</v>
      </c>
      <c r="C49" s="11">
        <v>19000</v>
      </c>
      <c r="D49" s="2">
        <v>13000</v>
      </c>
      <c r="E49" s="108">
        <v>32000</v>
      </c>
      <c r="F49" s="108">
        <v>11000</v>
      </c>
      <c r="G49" s="11">
        <v>15000</v>
      </c>
      <c r="H49" s="11">
        <v>11000</v>
      </c>
      <c r="I49" s="11">
        <v>17000</v>
      </c>
      <c r="J49" s="11">
        <v>10000</v>
      </c>
      <c r="K49" s="11">
        <v>4000</v>
      </c>
      <c r="L49" s="11">
        <v>41000</v>
      </c>
      <c r="M49" s="11">
        <v>22000</v>
      </c>
      <c r="N49" s="11">
        <v>17000</v>
      </c>
      <c r="O49" s="11">
        <v>45000</v>
      </c>
      <c r="P49" s="11">
        <v>26000</v>
      </c>
      <c r="Q49" s="11">
        <v>18000</v>
      </c>
      <c r="R49" s="11">
        <v>13000</v>
      </c>
      <c r="S49" s="11">
        <v>65000</v>
      </c>
      <c r="T49" s="11">
        <v>19000</v>
      </c>
      <c r="U49" s="11">
        <v>38000</v>
      </c>
      <c r="V49" s="10">
        <f t="shared" si="1"/>
        <v>455000</v>
      </c>
      <c r="X49" s="37">
        <v>297932</v>
      </c>
      <c r="Y49" s="37"/>
    </row>
    <row r="50" spans="1:27" x14ac:dyDescent="0.25">
      <c r="A50" s="9">
        <v>2007</v>
      </c>
      <c r="B50" s="11">
        <v>24000</v>
      </c>
      <c r="C50" s="11">
        <v>25000</v>
      </c>
      <c r="D50" s="2">
        <v>23000</v>
      </c>
      <c r="E50" s="11">
        <v>26000</v>
      </c>
      <c r="F50" s="11">
        <v>79000</v>
      </c>
      <c r="G50" s="11">
        <v>21000</v>
      </c>
      <c r="H50" s="11">
        <v>46000</v>
      </c>
      <c r="I50" s="11">
        <v>42000</v>
      </c>
      <c r="J50" s="11">
        <v>26000</v>
      </c>
      <c r="K50" s="11">
        <v>2500</v>
      </c>
      <c r="L50" s="11">
        <v>55000</v>
      </c>
      <c r="M50" s="11">
        <v>20000</v>
      </c>
      <c r="N50" s="11">
        <v>17000</v>
      </c>
      <c r="O50" s="11">
        <v>132000</v>
      </c>
      <c r="P50" s="11">
        <v>8000</v>
      </c>
      <c r="Q50" s="11">
        <v>34000</v>
      </c>
      <c r="R50" s="11">
        <v>25000</v>
      </c>
      <c r="S50" s="11">
        <v>81000</v>
      </c>
      <c r="T50" s="11">
        <v>29000</v>
      </c>
      <c r="U50" s="11">
        <v>72000</v>
      </c>
      <c r="V50" s="10">
        <f t="shared" si="1"/>
        <v>787500</v>
      </c>
      <c r="X50" s="37">
        <v>412282</v>
      </c>
      <c r="Y50" s="37"/>
    </row>
    <row r="51" spans="1:27" x14ac:dyDescent="0.25">
      <c r="A51" s="9">
        <v>2008</v>
      </c>
      <c r="B51" s="11">
        <v>1500</v>
      </c>
      <c r="C51" s="11">
        <v>2500</v>
      </c>
      <c r="D51" s="3">
        <v>2100</v>
      </c>
      <c r="E51" s="11">
        <v>1100</v>
      </c>
      <c r="F51" s="11">
        <v>5000</v>
      </c>
      <c r="G51" s="11">
        <v>3933</v>
      </c>
      <c r="H51" s="11">
        <v>4000</v>
      </c>
      <c r="I51" s="11">
        <v>6400</v>
      </c>
      <c r="J51" s="11">
        <v>2000</v>
      </c>
      <c r="K51" s="11">
        <v>800</v>
      </c>
      <c r="L51" s="11">
        <v>6000</v>
      </c>
      <c r="M51" s="11">
        <v>7500</v>
      </c>
      <c r="N51" s="11">
        <v>6500</v>
      </c>
      <c r="O51" s="11">
        <v>8000</v>
      </c>
      <c r="P51" s="11">
        <v>3500</v>
      </c>
      <c r="Q51" s="11">
        <v>2000</v>
      </c>
      <c r="R51" s="11">
        <v>7000</v>
      </c>
      <c r="S51" s="11">
        <v>7000</v>
      </c>
      <c r="T51" s="11">
        <v>2350</v>
      </c>
      <c r="U51" s="11">
        <v>10000</v>
      </c>
      <c r="V51" s="10">
        <f t="shared" si="1"/>
        <v>89183</v>
      </c>
      <c r="W51" s="65"/>
      <c r="X51" s="64">
        <v>255</v>
      </c>
      <c r="Y51" s="64"/>
    </row>
    <row r="52" spans="1:27" x14ac:dyDescent="0.25">
      <c r="A52" s="9">
        <v>2009</v>
      </c>
      <c r="B52" s="11">
        <v>12000</v>
      </c>
      <c r="C52" s="11">
        <v>35000</v>
      </c>
      <c r="D52" s="3">
        <v>31000</v>
      </c>
      <c r="E52" s="11">
        <v>29000</v>
      </c>
      <c r="F52" s="11">
        <v>135000</v>
      </c>
      <c r="G52" s="11">
        <v>4000</v>
      </c>
      <c r="H52" s="11">
        <v>44000</v>
      </c>
      <c r="I52" s="11">
        <v>24000</v>
      </c>
      <c r="J52" s="11">
        <v>21000</v>
      </c>
      <c r="K52" s="11">
        <v>7000</v>
      </c>
      <c r="L52" s="11">
        <v>16000</v>
      </c>
      <c r="M52" s="11">
        <v>8000</v>
      </c>
      <c r="N52" s="11">
        <v>7000</v>
      </c>
      <c r="O52" s="11">
        <v>60000</v>
      </c>
      <c r="P52" s="11">
        <v>4000</v>
      </c>
      <c r="Q52" s="11">
        <v>5000</v>
      </c>
      <c r="R52" s="11">
        <v>10000</v>
      </c>
      <c r="S52" s="11">
        <v>57000</v>
      </c>
      <c r="T52" s="11">
        <v>22000</v>
      </c>
      <c r="U52" s="11">
        <v>50000</v>
      </c>
      <c r="V52" s="10">
        <f t="shared" si="1"/>
        <v>581000</v>
      </c>
      <c r="X52" s="64">
        <v>315207</v>
      </c>
      <c r="Y52" s="64"/>
      <c r="Z52" s="14"/>
      <c r="AA52" s="14"/>
    </row>
    <row r="53" spans="1:27" x14ac:dyDescent="0.25">
      <c r="A53" s="9">
        <v>2010</v>
      </c>
      <c r="B53" s="11">
        <v>13000</v>
      </c>
      <c r="C53" s="11">
        <v>20000</v>
      </c>
      <c r="D53" s="3">
        <v>40000</v>
      </c>
      <c r="E53" s="11">
        <v>5000</v>
      </c>
      <c r="F53" s="11">
        <v>27000</v>
      </c>
      <c r="G53" s="11">
        <v>2000</v>
      </c>
      <c r="H53" s="11">
        <v>5000</v>
      </c>
      <c r="I53" s="11">
        <v>10000</v>
      </c>
      <c r="J53" s="11">
        <v>7000</v>
      </c>
      <c r="K53" s="11">
        <v>2500</v>
      </c>
      <c r="L53" s="11">
        <v>5000</v>
      </c>
      <c r="M53" s="11">
        <v>5000</v>
      </c>
      <c r="N53" s="11">
        <v>4500</v>
      </c>
      <c r="O53" s="11">
        <v>10400</v>
      </c>
      <c r="P53" s="11">
        <v>2200</v>
      </c>
      <c r="Q53" s="11">
        <v>7000</v>
      </c>
      <c r="R53" s="11">
        <v>11000</v>
      </c>
      <c r="S53" s="11">
        <v>18000</v>
      </c>
      <c r="T53" s="11">
        <v>35000</v>
      </c>
      <c r="U53" s="11">
        <v>28000</v>
      </c>
      <c r="V53" s="10">
        <f t="shared" si="1"/>
        <v>257600</v>
      </c>
      <c r="X53" s="64">
        <v>0</v>
      </c>
      <c r="Y53" s="64"/>
      <c r="Z53" s="14"/>
      <c r="AA53" s="14"/>
    </row>
    <row r="54" spans="1:27" x14ac:dyDescent="0.25">
      <c r="A54" s="9">
        <v>2011</v>
      </c>
      <c r="B54" s="11">
        <v>18000</v>
      </c>
      <c r="C54" s="11">
        <v>28000</v>
      </c>
      <c r="D54" s="3">
        <v>22000</v>
      </c>
      <c r="E54" s="11">
        <v>22000</v>
      </c>
      <c r="F54" s="11">
        <v>210000</v>
      </c>
      <c r="G54" s="11">
        <v>22000</v>
      </c>
      <c r="H54" s="11">
        <v>46000</v>
      </c>
      <c r="I54" s="11">
        <v>27000</v>
      </c>
      <c r="J54" s="11">
        <v>23000</v>
      </c>
      <c r="K54" s="11">
        <v>22000</v>
      </c>
      <c r="L54" s="11">
        <v>24000</v>
      </c>
      <c r="M54" s="11">
        <v>12000</v>
      </c>
      <c r="N54" s="11">
        <v>4000</v>
      </c>
      <c r="O54" s="11">
        <v>70000</v>
      </c>
      <c r="P54" s="11">
        <v>9000</v>
      </c>
      <c r="Q54" s="11">
        <v>9000</v>
      </c>
      <c r="R54" s="11">
        <v>19000</v>
      </c>
      <c r="S54" s="11">
        <v>141000</v>
      </c>
      <c r="T54" s="11">
        <v>19000</v>
      </c>
      <c r="U54" s="11">
        <v>15000</v>
      </c>
      <c r="V54" s="10">
        <f t="shared" si="1"/>
        <v>762000</v>
      </c>
      <c r="X54" s="64">
        <v>1647702</v>
      </c>
      <c r="Y54" s="64"/>
      <c r="Z54" s="14"/>
      <c r="AA54" s="14"/>
    </row>
    <row r="55" spans="1:27" x14ac:dyDescent="0.25">
      <c r="A55" s="9">
        <v>2012</v>
      </c>
      <c r="B55" s="90">
        <v>500</v>
      </c>
      <c r="C55" s="90">
        <v>200</v>
      </c>
      <c r="D55" s="93">
        <v>5000</v>
      </c>
      <c r="E55" s="90">
        <v>1200</v>
      </c>
      <c r="F55" s="90">
        <v>12000</v>
      </c>
      <c r="G55" s="11">
        <v>1598</v>
      </c>
      <c r="H55" s="90">
        <v>3500</v>
      </c>
      <c r="I55" s="90">
        <v>1800</v>
      </c>
      <c r="J55" s="90">
        <v>1000</v>
      </c>
      <c r="K55" s="90">
        <v>1500</v>
      </c>
      <c r="L55" s="90">
        <v>4500</v>
      </c>
      <c r="M55" s="90">
        <v>2500</v>
      </c>
      <c r="N55" s="90">
        <v>300</v>
      </c>
      <c r="O55" s="90">
        <v>10000</v>
      </c>
      <c r="P55" s="90">
        <v>4500</v>
      </c>
      <c r="Q55" s="90">
        <v>1500</v>
      </c>
      <c r="R55" s="90">
        <v>1400</v>
      </c>
      <c r="S55" s="90">
        <v>3000</v>
      </c>
      <c r="T55" s="90">
        <v>1800</v>
      </c>
      <c r="U55" s="90">
        <v>10000</v>
      </c>
      <c r="V55" s="10">
        <f t="shared" si="1"/>
        <v>67798</v>
      </c>
      <c r="X55" s="64">
        <v>0</v>
      </c>
      <c r="Y55" s="64"/>
      <c r="Z55" s="14"/>
      <c r="AA55" s="14"/>
    </row>
    <row r="56" spans="1:27" x14ac:dyDescent="0.25">
      <c r="A56" s="9">
        <v>2013</v>
      </c>
      <c r="B56" s="90">
        <v>39000</v>
      </c>
      <c r="C56" s="90">
        <v>55000</v>
      </c>
      <c r="D56" s="93">
        <v>35000</v>
      </c>
      <c r="E56" s="90">
        <v>21000</v>
      </c>
      <c r="F56" s="90">
        <v>173000</v>
      </c>
      <c r="G56" s="11">
        <v>11000</v>
      </c>
      <c r="H56" s="90">
        <v>57000</v>
      </c>
      <c r="I56" s="90">
        <v>31000</v>
      </c>
      <c r="J56" s="90">
        <v>20000</v>
      </c>
      <c r="K56" s="90">
        <v>16000</v>
      </c>
      <c r="L56" s="90">
        <v>37000</v>
      </c>
      <c r="M56" s="90">
        <v>23000</v>
      </c>
      <c r="N56" s="90">
        <v>5000</v>
      </c>
      <c r="O56" s="90">
        <v>70000</v>
      </c>
      <c r="P56" s="90">
        <v>14000</v>
      </c>
      <c r="Q56" s="90">
        <v>10000</v>
      </c>
      <c r="R56" s="90">
        <v>26000</v>
      </c>
      <c r="S56" s="90">
        <v>74000</v>
      </c>
      <c r="T56" s="90">
        <v>8000</v>
      </c>
      <c r="U56" s="90">
        <v>35000</v>
      </c>
      <c r="V56" s="10">
        <f t="shared" si="1"/>
        <v>760000</v>
      </c>
      <c r="X56" s="64">
        <v>597460</v>
      </c>
      <c r="Y56" s="64"/>
      <c r="Z56" s="14"/>
      <c r="AA56" s="14"/>
    </row>
    <row r="57" spans="1:27" x14ac:dyDescent="0.25">
      <c r="A57" s="9">
        <v>2014</v>
      </c>
      <c r="B57" s="90">
        <v>3500</v>
      </c>
      <c r="C57" s="90">
        <v>3500</v>
      </c>
      <c r="D57" s="93">
        <v>3500</v>
      </c>
      <c r="E57" s="90">
        <v>2500</v>
      </c>
      <c r="F57" s="90">
        <v>9000</v>
      </c>
      <c r="G57" s="11">
        <v>2000</v>
      </c>
      <c r="H57" s="90">
        <v>15000</v>
      </c>
      <c r="I57" s="90">
        <v>4000</v>
      </c>
      <c r="J57" s="90">
        <v>1100</v>
      </c>
      <c r="K57" s="90">
        <v>1500</v>
      </c>
      <c r="L57" s="90">
        <v>3000</v>
      </c>
      <c r="M57" s="90">
        <v>800</v>
      </c>
      <c r="N57" s="90">
        <v>600</v>
      </c>
      <c r="O57" s="90">
        <v>6000</v>
      </c>
      <c r="P57" s="90">
        <v>1200</v>
      </c>
      <c r="Q57" s="90">
        <v>800</v>
      </c>
      <c r="R57" s="90">
        <v>2500</v>
      </c>
      <c r="S57" s="90">
        <v>5000</v>
      </c>
      <c r="T57" s="90">
        <v>3000</v>
      </c>
      <c r="U57" s="90">
        <v>11000</v>
      </c>
      <c r="V57" s="10">
        <f t="shared" si="1"/>
        <v>79500</v>
      </c>
      <c r="X57" s="64">
        <v>0</v>
      </c>
      <c r="Y57" s="64"/>
      <c r="Z57" s="14"/>
      <c r="AA57" s="14"/>
    </row>
    <row r="58" spans="1:27" x14ac:dyDescent="0.25">
      <c r="A58" s="9">
        <v>2015</v>
      </c>
      <c r="B58" s="90">
        <v>13000</v>
      </c>
      <c r="C58" s="90">
        <v>41000</v>
      </c>
      <c r="D58" s="93">
        <v>7000</v>
      </c>
      <c r="E58" s="90">
        <v>26000</v>
      </c>
      <c r="F58" s="90">
        <v>89000</v>
      </c>
      <c r="G58" s="11"/>
      <c r="H58" s="90">
        <v>61000</v>
      </c>
      <c r="I58" s="90">
        <v>21000</v>
      </c>
      <c r="J58" s="90">
        <v>15000</v>
      </c>
      <c r="K58" s="90">
        <v>38000</v>
      </c>
      <c r="L58" s="90">
        <v>27000</v>
      </c>
      <c r="M58" s="90">
        <v>48000</v>
      </c>
      <c r="N58" s="90">
        <v>17000</v>
      </c>
      <c r="O58" s="90">
        <v>73000</v>
      </c>
      <c r="P58" s="90">
        <v>31000</v>
      </c>
      <c r="Q58" s="90">
        <v>37000</v>
      </c>
      <c r="R58" s="90">
        <v>80000</v>
      </c>
      <c r="S58" s="90">
        <v>156000</v>
      </c>
      <c r="T58" s="90">
        <v>33000</v>
      </c>
      <c r="U58" s="90">
        <v>29000</v>
      </c>
      <c r="V58" s="10">
        <f t="shared" si="1"/>
        <v>842000</v>
      </c>
      <c r="X58" s="64">
        <v>279391</v>
      </c>
      <c r="Y58" s="64"/>
      <c r="Z58" s="14"/>
      <c r="AA58" s="14"/>
    </row>
    <row r="59" spans="1:27" x14ac:dyDescent="0.25">
      <c r="A59" s="9">
        <v>2016</v>
      </c>
      <c r="B59" s="11">
        <v>25000</v>
      </c>
      <c r="C59" s="11">
        <v>23000</v>
      </c>
      <c r="D59" s="5">
        <v>10500</v>
      </c>
      <c r="E59" s="11">
        <v>8000</v>
      </c>
      <c r="F59" s="11">
        <v>73000</v>
      </c>
      <c r="G59" s="11">
        <v>26000</v>
      </c>
      <c r="H59" s="11">
        <v>12000</v>
      </c>
      <c r="I59" s="11">
        <v>30100</v>
      </c>
      <c r="J59" s="11">
        <v>23000</v>
      </c>
      <c r="K59" s="11">
        <v>9000</v>
      </c>
      <c r="L59" s="11">
        <v>16000</v>
      </c>
      <c r="M59" s="11">
        <v>6600</v>
      </c>
      <c r="N59" s="11">
        <v>5000</v>
      </c>
      <c r="O59" s="11">
        <v>10000</v>
      </c>
      <c r="P59" s="11">
        <v>7000</v>
      </c>
      <c r="Q59" s="11">
        <v>5000</v>
      </c>
      <c r="R59" s="11">
        <v>20000</v>
      </c>
      <c r="S59" s="11">
        <v>26000</v>
      </c>
      <c r="T59" s="11">
        <v>8000</v>
      </c>
      <c r="U59" s="11">
        <v>37000</v>
      </c>
      <c r="V59" s="11">
        <f t="shared" si="1"/>
        <v>380200</v>
      </c>
      <c r="X59" s="64">
        <v>0</v>
      </c>
      <c r="Y59" s="64"/>
      <c r="Z59" s="14"/>
      <c r="AA59" s="14"/>
    </row>
    <row r="60" spans="1:27" x14ac:dyDescent="0.25">
      <c r="A60" s="9">
        <v>2017</v>
      </c>
      <c r="B60" s="11">
        <v>10000</v>
      </c>
      <c r="C60" s="11">
        <v>35000</v>
      </c>
      <c r="D60" s="5">
        <v>10000</v>
      </c>
      <c r="E60" s="11">
        <v>15000</v>
      </c>
      <c r="F60" s="11">
        <v>132500</v>
      </c>
      <c r="G60" s="11">
        <v>20000</v>
      </c>
      <c r="H60" s="11">
        <v>74000</v>
      </c>
      <c r="I60" s="11">
        <v>20000</v>
      </c>
      <c r="J60" s="11">
        <v>15000</v>
      </c>
      <c r="K60" s="11">
        <v>33000</v>
      </c>
      <c r="L60" s="11">
        <v>40000</v>
      </c>
      <c r="M60" s="11">
        <v>32000</v>
      </c>
      <c r="N60" s="11">
        <v>6000</v>
      </c>
      <c r="O60" s="11">
        <v>130000</v>
      </c>
      <c r="P60" s="11">
        <v>13000</v>
      </c>
      <c r="Q60" s="11">
        <v>20000</v>
      </c>
      <c r="R60" s="11">
        <v>55000</v>
      </c>
      <c r="S60" s="11">
        <v>85000</v>
      </c>
      <c r="T60" s="11">
        <v>8000</v>
      </c>
      <c r="U60" s="11">
        <v>35000</v>
      </c>
      <c r="V60" s="11">
        <f t="shared" ref="V60:V67" si="2">SUM(B60:U60)</f>
        <v>788500</v>
      </c>
      <c r="X60" s="11">
        <v>793973</v>
      </c>
      <c r="Y60" s="64">
        <f>V60+X60</f>
        <v>1582473</v>
      </c>
      <c r="Z60" s="14"/>
      <c r="AA60" s="14"/>
    </row>
    <row r="61" spans="1:27" x14ac:dyDescent="0.25">
      <c r="A61" s="9">
        <v>2018</v>
      </c>
      <c r="B61" s="11">
        <v>8500</v>
      </c>
      <c r="C61" s="11">
        <v>25000</v>
      </c>
      <c r="D61" s="3">
        <v>14200</v>
      </c>
      <c r="E61" s="11">
        <v>4400</v>
      </c>
      <c r="F61" s="11">
        <v>48000</v>
      </c>
      <c r="G61" s="11">
        <v>4000</v>
      </c>
      <c r="H61" s="11">
        <v>4600</v>
      </c>
      <c r="I61" s="11">
        <v>4450</v>
      </c>
      <c r="J61" s="11">
        <v>2700</v>
      </c>
      <c r="K61" s="11">
        <v>6000</v>
      </c>
      <c r="L61" s="11">
        <v>9000</v>
      </c>
      <c r="M61" s="11">
        <v>3500</v>
      </c>
      <c r="N61" s="11">
        <v>250</v>
      </c>
      <c r="O61" s="11">
        <v>19200</v>
      </c>
      <c r="P61" s="11">
        <v>2100</v>
      </c>
      <c r="Q61" s="11">
        <v>3800</v>
      </c>
      <c r="R61" s="11">
        <v>16100</v>
      </c>
      <c r="S61" s="11">
        <v>24000</v>
      </c>
      <c r="T61" s="11">
        <v>3600</v>
      </c>
      <c r="U61" s="11">
        <v>32000</v>
      </c>
      <c r="V61" s="11">
        <f t="shared" si="2"/>
        <v>235400</v>
      </c>
      <c r="X61" s="64">
        <v>0</v>
      </c>
      <c r="Y61" s="64">
        <f t="shared" ref="Y61:Y66" si="3">V61+X61</f>
        <v>235400</v>
      </c>
      <c r="Z61" s="14"/>
      <c r="AA61" s="14"/>
    </row>
    <row r="62" spans="1:27" x14ac:dyDescent="0.25">
      <c r="A62" s="9">
        <v>2019</v>
      </c>
      <c r="B62" s="11">
        <v>6000</v>
      </c>
      <c r="C62" s="11">
        <v>25000</v>
      </c>
      <c r="D62" s="3">
        <v>3500</v>
      </c>
      <c r="E62" s="11">
        <v>6000</v>
      </c>
      <c r="F62" s="11">
        <v>62000</v>
      </c>
      <c r="G62" s="11">
        <v>5500</v>
      </c>
      <c r="H62" s="11">
        <v>22000</v>
      </c>
      <c r="I62" s="11">
        <v>10000</v>
      </c>
      <c r="J62" s="11">
        <v>5000</v>
      </c>
      <c r="K62" s="11">
        <v>10000</v>
      </c>
      <c r="L62" s="11">
        <v>1300</v>
      </c>
      <c r="M62" s="11">
        <v>2200</v>
      </c>
      <c r="N62" s="11">
        <v>800</v>
      </c>
      <c r="O62" s="11">
        <v>6100</v>
      </c>
      <c r="P62" s="11">
        <v>1500</v>
      </c>
      <c r="Q62" s="11">
        <v>2150</v>
      </c>
      <c r="R62" s="11">
        <v>16000</v>
      </c>
      <c r="S62" s="11">
        <v>6600</v>
      </c>
      <c r="T62" s="11">
        <v>500</v>
      </c>
      <c r="U62" s="11">
        <v>10000</v>
      </c>
      <c r="V62" s="11">
        <f t="shared" si="2"/>
        <v>202150</v>
      </c>
      <c r="X62" s="64">
        <v>0</v>
      </c>
      <c r="Y62" s="64">
        <f t="shared" si="3"/>
        <v>202150</v>
      </c>
      <c r="Z62" s="14"/>
      <c r="AA62" s="14"/>
    </row>
    <row r="63" spans="1:27" x14ac:dyDescent="0.25">
      <c r="A63" s="9">
        <v>2020</v>
      </c>
      <c r="B63" s="11">
        <v>10000</v>
      </c>
      <c r="C63" s="11">
        <v>25000</v>
      </c>
      <c r="D63" s="3">
        <v>40000</v>
      </c>
      <c r="E63" s="183">
        <v>11400</v>
      </c>
      <c r="F63" s="11">
        <v>119000</v>
      </c>
      <c r="G63" s="11">
        <v>12000</v>
      </c>
      <c r="H63" s="11">
        <v>17000</v>
      </c>
      <c r="I63" s="11">
        <v>30000</v>
      </c>
      <c r="J63" s="11">
        <v>21500</v>
      </c>
      <c r="K63" s="11">
        <v>10000</v>
      </c>
      <c r="L63" s="11">
        <v>15500</v>
      </c>
      <c r="M63" s="11">
        <v>9000</v>
      </c>
      <c r="N63" s="11">
        <v>3000</v>
      </c>
      <c r="O63" s="11">
        <v>25000</v>
      </c>
      <c r="P63" s="11">
        <v>6000</v>
      </c>
      <c r="Q63" s="11">
        <v>9000</v>
      </c>
      <c r="R63" s="11">
        <v>7000</v>
      </c>
      <c r="S63" s="11">
        <v>19000</v>
      </c>
      <c r="T63" s="11">
        <v>2000</v>
      </c>
      <c r="U63" s="11">
        <v>51000</v>
      </c>
      <c r="V63" s="11">
        <f t="shared" si="2"/>
        <v>442400</v>
      </c>
      <c r="X63" s="64">
        <v>0</v>
      </c>
      <c r="Y63" s="64">
        <f t="shared" si="3"/>
        <v>442400</v>
      </c>
      <c r="Z63" s="14"/>
      <c r="AA63" s="14"/>
    </row>
    <row r="64" spans="1:27" x14ac:dyDescent="0.25">
      <c r="A64" s="9">
        <v>2021</v>
      </c>
      <c r="B64" s="11">
        <v>8000</v>
      </c>
      <c r="C64" s="11">
        <v>32000</v>
      </c>
      <c r="D64" s="3">
        <v>38000</v>
      </c>
      <c r="E64" s="11">
        <v>12000</v>
      </c>
      <c r="F64" s="11">
        <v>55000</v>
      </c>
      <c r="G64" s="11">
        <v>15000</v>
      </c>
      <c r="H64" s="11">
        <v>10000</v>
      </c>
      <c r="I64" s="11">
        <v>11500</v>
      </c>
      <c r="J64" s="11">
        <v>4000</v>
      </c>
      <c r="K64" s="11">
        <v>10000</v>
      </c>
      <c r="L64" s="11">
        <v>5000</v>
      </c>
      <c r="M64" s="11">
        <v>7000</v>
      </c>
      <c r="N64" s="11">
        <v>1000</v>
      </c>
      <c r="O64" s="11">
        <v>6600</v>
      </c>
      <c r="P64" s="11">
        <v>1500</v>
      </c>
      <c r="Q64" s="11">
        <v>4000</v>
      </c>
      <c r="R64" s="11">
        <v>12000</v>
      </c>
      <c r="S64" s="11">
        <v>26000</v>
      </c>
      <c r="T64" s="11">
        <v>8200</v>
      </c>
      <c r="U64" s="11">
        <v>56000</v>
      </c>
      <c r="V64" s="11">
        <f t="shared" si="2"/>
        <v>322800</v>
      </c>
      <c r="X64" s="131">
        <v>0</v>
      </c>
      <c r="Y64" s="64">
        <f t="shared" si="3"/>
        <v>322800</v>
      </c>
      <c r="Z64" s="14"/>
      <c r="AA64" s="14"/>
    </row>
    <row r="65" spans="1:27" x14ac:dyDescent="0.25">
      <c r="A65" s="9">
        <v>2022</v>
      </c>
      <c r="B65" s="11">
        <v>16000</v>
      </c>
      <c r="C65" s="11">
        <v>28000</v>
      </c>
      <c r="D65" s="3">
        <v>21000</v>
      </c>
      <c r="E65" s="11">
        <v>1000</v>
      </c>
      <c r="F65" s="11">
        <v>48000</v>
      </c>
      <c r="G65" s="11">
        <v>18000</v>
      </c>
      <c r="H65" s="11">
        <v>13000</v>
      </c>
      <c r="I65" s="11">
        <v>8000</v>
      </c>
      <c r="J65" s="11">
        <v>7100</v>
      </c>
      <c r="K65" s="11">
        <v>17000</v>
      </c>
      <c r="L65" s="11">
        <v>29000</v>
      </c>
      <c r="M65" s="11">
        <v>34000</v>
      </c>
      <c r="N65" s="11">
        <v>3000</v>
      </c>
      <c r="O65" s="11">
        <v>28000</v>
      </c>
      <c r="P65" s="11">
        <v>8000</v>
      </c>
      <c r="Q65" s="11">
        <v>14000</v>
      </c>
      <c r="R65" s="11">
        <v>20000</v>
      </c>
      <c r="S65" s="11">
        <v>21000</v>
      </c>
      <c r="T65" s="11">
        <v>14000</v>
      </c>
      <c r="U65" s="11">
        <v>46000</v>
      </c>
      <c r="V65" s="11">
        <f t="shared" si="2"/>
        <v>394100</v>
      </c>
      <c r="X65" s="64">
        <v>49916</v>
      </c>
      <c r="Y65" s="64">
        <f t="shared" si="3"/>
        <v>444016</v>
      </c>
      <c r="Z65" s="14"/>
      <c r="AA65" s="14"/>
    </row>
    <row r="66" spans="1:27" x14ac:dyDescent="0.25">
      <c r="A66" s="9">
        <v>2023</v>
      </c>
      <c r="B66" s="11">
        <v>39000</v>
      </c>
      <c r="C66" s="11">
        <v>55000</v>
      </c>
      <c r="D66" s="3">
        <v>40000</v>
      </c>
      <c r="E66" s="11">
        <v>18000</v>
      </c>
      <c r="F66" s="11">
        <v>110000</v>
      </c>
      <c r="G66" s="11">
        <v>27000</v>
      </c>
      <c r="H66" s="11">
        <v>30000</v>
      </c>
      <c r="I66" s="11">
        <v>6000</v>
      </c>
      <c r="J66" s="11">
        <v>12000</v>
      </c>
      <c r="K66" s="11">
        <v>28000</v>
      </c>
      <c r="L66" s="11">
        <v>31000</v>
      </c>
      <c r="M66" s="11">
        <v>18000</v>
      </c>
      <c r="N66" s="11">
        <v>10000</v>
      </c>
      <c r="O66" s="11">
        <v>37000</v>
      </c>
      <c r="P66" s="11">
        <v>15000</v>
      </c>
      <c r="Q66" s="11">
        <v>9000</v>
      </c>
      <c r="R66" s="11">
        <v>21000</v>
      </c>
      <c r="S66" s="11">
        <v>64000</v>
      </c>
      <c r="T66" s="11">
        <v>31000</v>
      </c>
      <c r="U66" s="11">
        <v>53000</v>
      </c>
      <c r="V66" s="11">
        <f t="shared" si="2"/>
        <v>654000</v>
      </c>
      <c r="X66" s="64">
        <v>0</v>
      </c>
      <c r="Y66" s="64">
        <f t="shared" si="3"/>
        <v>654000</v>
      </c>
      <c r="Z66" s="14"/>
      <c r="AA66" s="14"/>
    </row>
    <row r="67" spans="1:27" x14ac:dyDescent="0.25">
      <c r="A67" s="9">
        <v>2024</v>
      </c>
      <c r="B67" s="108">
        <v>32000</v>
      </c>
      <c r="C67" s="108">
        <v>29000</v>
      </c>
      <c r="D67" s="186">
        <v>21000</v>
      </c>
      <c r="E67" s="108">
        <v>15000</v>
      </c>
      <c r="F67" s="108">
        <v>45000</v>
      </c>
      <c r="G67" s="108">
        <v>17000</v>
      </c>
      <c r="H67" s="108">
        <v>25000</v>
      </c>
      <c r="I67" s="108">
        <v>20000</v>
      </c>
      <c r="J67" s="108">
        <v>21000</v>
      </c>
      <c r="K67" s="108">
        <v>24000</v>
      </c>
      <c r="L67" s="108">
        <v>30000</v>
      </c>
      <c r="M67" s="108">
        <v>25000</v>
      </c>
      <c r="N67" s="108">
        <v>27000</v>
      </c>
      <c r="O67" s="108">
        <v>62000</v>
      </c>
      <c r="P67" s="108">
        <v>17000</v>
      </c>
      <c r="Q67" s="108">
        <v>19000</v>
      </c>
      <c r="R67" s="108">
        <v>24000</v>
      </c>
      <c r="S67" s="108">
        <v>80000</v>
      </c>
      <c r="T67" s="108">
        <v>41000</v>
      </c>
      <c r="U67" s="108">
        <v>40000</v>
      </c>
      <c r="V67" s="11">
        <f t="shared" si="2"/>
        <v>614000</v>
      </c>
      <c r="X67" s="64"/>
      <c r="Y67" s="64"/>
      <c r="Z67" s="14"/>
      <c r="AA67" s="14"/>
    </row>
    <row r="68" spans="1:27" ht="13.8" x14ac:dyDescent="0.25">
      <c r="A68" s="66" t="s">
        <v>108</v>
      </c>
      <c r="B68" s="128">
        <f t="shared" ref="B68:G68" si="4">AVERAGE(B3:B67)</f>
        <v>8667.9185202301305</v>
      </c>
      <c r="C68" s="128">
        <f t="shared" si="4"/>
        <v>17928.071887781334</v>
      </c>
      <c r="D68" s="128">
        <f t="shared" si="4"/>
        <v>16045.692307692309</v>
      </c>
      <c r="E68" s="128">
        <f t="shared" si="4"/>
        <v>8137.8292627292431</v>
      </c>
      <c r="F68" s="128">
        <f t="shared" si="4"/>
        <v>47305.403339732678</v>
      </c>
      <c r="G68" s="128">
        <f t="shared" si="4"/>
        <v>8075.7625426778341</v>
      </c>
      <c r="H68" s="128">
        <f t="shared" ref="H68:S68" si="5">AVERAGE(H3:H67)</f>
        <v>23924.101885332584</v>
      </c>
      <c r="I68" s="128">
        <f t="shared" si="5"/>
        <v>11729.929138504176</v>
      </c>
      <c r="J68" s="128">
        <f t="shared" si="5"/>
        <v>7376.3907169410268</v>
      </c>
      <c r="K68" s="128">
        <f t="shared" si="5"/>
        <v>8656.3132134181888</v>
      </c>
      <c r="L68" s="128">
        <f t="shared" si="5"/>
        <v>16053.478469442547</v>
      </c>
      <c r="M68" s="128">
        <f t="shared" si="5"/>
        <v>15045.657051536</v>
      </c>
      <c r="N68" s="128">
        <f t="shared" si="5"/>
        <v>5355.4022725428977</v>
      </c>
      <c r="O68" s="128">
        <f t="shared" si="5"/>
        <v>33694.557566641939</v>
      </c>
      <c r="P68" s="128">
        <f t="shared" si="5"/>
        <v>5724.4013523505373</v>
      </c>
      <c r="Q68" s="128">
        <f t="shared" si="5"/>
        <v>11047.238999881714</v>
      </c>
      <c r="R68" s="128">
        <f t="shared" si="5"/>
        <v>19099.836925974116</v>
      </c>
      <c r="S68" s="128">
        <f t="shared" si="5"/>
        <v>42007.012650168523</v>
      </c>
      <c r="T68" s="128">
        <f>AVERAGE(T3:T67)</f>
        <v>21281.046497031184</v>
      </c>
      <c r="U68" s="128">
        <f>AVERAGE(U3:U67)</f>
        <v>27590.421121583197</v>
      </c>
      <c r="V68" s="128">
        <f>AVERAGE(V3:V66)</f>
        <v>350569.44545937207</v>
      </c>
      <c r="W68" s="130"/>
      <c r="X68" s="128">
        <f>AVERAGE(X3:X66)</f>
        <v>262997.5625</v>
      </c>
      <c r="Y68" s="33"/>
    </row>
    <row r="69" spans="1:27" ht="13.8" x14ac:dyDescent="0.25">
      <c r="A69" s="22" t="s">
        <v>360</v>
      </c>
      <c r="B69" s="92">
        <f>AVERAGE(B55:B64)</f>
        <v>12350</v>
      </c>
      <c r="C69" s="92">
        <f t="shared" ref="C69:G69" si="6">AVERAGE(C55:C64)</f>
        <v>26470</v>
      </c>
      <c r="D69" s="92">
        <f t="shared" si="6"/>
        <v>16670</v>
      </c>
      <c r="E69" s="92">
        <f t="shared" si="6"/>
        <v>10750</v>
      </c>
      <c r="F69" s="92">
        <f t="shared" si="6"/>
        <v>77250</v>
      </c>
      <c r="G69" s="92">
        <f t="shared" si="6"/>
        <v>10788.666666666666</v>
      </c>
      <c r="H69" s="92">
        <f>AVERAGE(H57:H66)</f>
        <v>25860</v>
      </c>
      <c r="I69" s="92">
        <f t="shared" ref="I69:X69" si="7">AVERAGE(I57:I66)</f>
        <v>14505</v>
      </c>
      <c r="J69" s="92">
        <f t="shared" si="7"/>
        <v>10640</v>
      </c>
      <c r="K69" s="92">
        <f t="shared" si="7"/>
        <v>16250</v>
      </c>
      <c r="L69" s="92">
        <f t="shared" si="7"/>
        <v>17680</v>
      </c>
      <c r="M69" s="92">
        <f t="shared" si="7"/>
        <v>16110</v>
      </c>
      <c r="N69" s="92">
        <f t="shared" si="7"/>
        <v>4665</v>
      </c>
      <c r="O69" s="92">
        <f t="shared" si="7"/>
        <v>34090</v>
      </c>
      <c r="P69" s="92">
        <f t="shared" si="7"/>
        <v>8630</v>
      </c>
      <c r="Q69" s="92">
        <f t="shared" si="7"/>
        <v>10475</v>
      </c>
      <c r="R69" s="92">
        <f t="shared" si="7"/>
        <v>24960</v>
      </c>
      <c r="S69" s="92">
        <f t="shared" si="7"/>
        <v>43260</v>
      </c>
      <c r="T69" s="92">
        <f t="shared" si="7"/>
        <v>11130</v>
      </c>
      <c r="U69" s="92">
        <f t="shared" si="7"/>
        <v>36000</v>
      </c>
      <c r="V69" s="92">
        <f t="shared" si="7"/>
        <v>434105</v>
      </c>
      <c r="W69" s="92"/>
      <c r="X69" s="92">
        <f t="shared" si="7"/>
        <v>112328</v>
      </c>
      <c r="Y69" s="33"/>
    </row>
    <row r="70" spans="1:27" ht="13.8" x14ac:dyDescent="0.25">
      <c r="A70" s="22" t="s">
        <v>361</v>
      </c>
      <c r="B70" s="96">
        <f>RANK(B65,B3:B65)</f>
        <v>9</v>
      </c>
      <c r="C70" s="96">
        <f t="shared" ref="C70:G70" si="8">RANK(C65,C3:C65)</f>
        <v>12</v>
      </c>
      <c r="D70" s="96">
        <f t="shared" si="8"/>
        <v>16</v>
      </c>
      <c r="E70" s="96">
        <f t="shared" si="8"/>
        <v>56</v>
      </c>
      <c r="F70" s="96">
        <f t="shared" si="8"/>
        <v>18</v>
      </c>
      <c r="G70" s="96">
        <f t="shared" si="8"/>
        <v>6</v>
      </c>
      <c r="H70" s="96">
        <f>RANK(H67,H3:H67)</f>
        <v>24</v>
      </c>
      <c r="I70" s="96">
        <f t="shared" ref="I70:V70" si="9">RANK(I66,I3:I66)</f>
        <v>34</v>
      </c>
      <c r="J70" s="96">
        <f t="shared" si="9"/>
        <v>13</v>
      </c>
      <c r="K70" s="96">
        <f t="shared" si="9"/>
        <v>3</v>
      </c>
      <c r="L70" s="96">
        <f t="shared" si="9"/>
        <v>9</v>
      </c>
      <c r="M70" s="96">
        <f t="shared" si="9"/>
        <v>23</v>
      </c>
      <c r="N70" s="96">
        <f t="shared" si="9"/>
        <v>10</v>
      </c>
      <c r="O70" s="96">
        <f t="shared" si="9"/>
        <v>21</v>
      </c>
      <c r="P70" s="96">
        <f t="shared" si="9"/>
        <v>6</v>
      </c>
      <c r="Q70" s="96">
        <f t="shared" si="9"/>
        <v>27</v>
      </c>
      <c r="R70" s="96">
        <f t="shared" si="9"/>
        <v>23</v>
      </c>
      <c r="S70" s="96">
        <f t="shared" si="9"/>
        <v>13</v>
      </c>
      <c r="T70" s="96">
        <f t="shared" si="9"/>
        <v>17</v>
      </c>
      <c r="U70" s="96">
        <f t="shared" si="9"/>
        <v>8</v>
      </c>
      <c r="V70" s="96">
        <f t="shared" si="9"/>
        <v>9</v>
      </c>
      <c r="W70" s="96"/>
      <c r="X70" s="96">
        <f>RANK(X66,X3:X66)</f>
        <v>47</v>
      </c>
      <c r="Y70" s="14"/>
    </row>
    <row r="71" spans="1:27" ht="13.8" x14ac:dyDescent="0.25">
      <c r="A71" s="23" t="s">
        <v>362</v>
      </c>
      <c r="B71" s="129">
        <f>B65/B69</f>
        <v>1.2955465587044535</v>
      </c>
      <c r="C71" s="129">
        <f t="shared" ref="C71:G71" si="10">C65/C69</f>
        <v>1.0578012844729883</v>
      </c>
      <c r="D71" s="129">
        <f t="shared" si="10"/>
        <v>1.2597480503899221</v>
      </c>
      <c r="E71" s="129">
        <f t="shared" si="10"/>
        <v>9.3023255813953487E-2</v>
      </c>
      <c r="F71" s="129">
        <f t="shared" si="10"/>
        <v>0.62135922330097082</v>
      </c>
      <c r="G71" s="129">
        <f t="shared" si="10"/>
        <v>1.668417475128221</v>
      </c>
      <c r="H71" s="129">
        <f>H67/H69</f>
        <v>0.96674400618716161</v>
      </c>
      <c r="I71" s="129">
        <f t="shared" ref="I71:X71" si="11">I67/I69</f>
        <v>1.3788348845225784</v>
      </c>
      <c r="J71" s="129">
        <f t="shared" si="11"/>
        <v>1.9736842105263157</v>
      </c>
      <c r="K71" s="129">
        <f t="shared" si="11"/>
        <v>1.476923076923077</v>
      </c>
      <c r="L71" s="129">
        <f t="shared" si="11"/>
        <v>1.6968325791855203</v>
      </c>
      <c r="M71" s="129">
        <f t="shared" si="11"/>
        <v>1.5518311607697082</v>
      </c>
      <c r="N71" s="129">
        <f t="shared" si="11"/>
        <v>5.787781350482315</v>
      </c>
      <c r="O71" s="129">
        <f t="shared" si="11"/>
        <v>1.8187151657377529</v>
      </c>
      <c r="P71" s="129">
        <f t="shared" si="11"/>
        <v>1.969872537659328</v>
      </c>
      <c r="Q71" s="129">
        <f t="shared" si="11"/>
        <v>1.8138424821002386</v>
      </c>
      <c r="R71" s="129">
        <f t="shared" si="11"/>
        <v>0.96153846153846156</v>
      </c>
      <c r="S71" s="129">
        <f t="shared" si="11"/>
        <v>1.8492834026814609</v>
      </c>
      <c r="T71" s="129">
        <f t="shared" si="11"/>
        <v>3.6837376460017968</v>
      </c>
      <c r="U71" s="129">
        <f t="shared" si="11"/>
        <v>1.1111111111111112</v>
      </c>
      <c r="V71" s="129">
        <f t="shared" si="11"/>
        <v>1.4144043491781941</v>
      </c>
      <c r="W71" s="129"/>
      <c r="X71" s="129">
        <f t="shared" si="11"/>
        <v>0</v>
      </c>
      <c r="Y71" s="49"/>
    </row>
    <row r="72" spans="1:27" ht="14.4" thickBot="1" x14ac:dyDescent="0.3">
      <c r="A72" s="158" t="s">
        <v>344</v>
      </c>
      <c r="E72" s="184"/>
      <c r="W72"/>
    </row>
    <row r="73" spans="1:27" ht="13.8" x14ac:dyDescent="0.25">
      <c r="A73" s="159" t="s">
        <v>345</v>
      </c>
      <c r="T73" s="192" t="s">
        <v>289</v>
      </c>
      <c r="U73" s="193"/>
      <c r="W73"/>
    </row>
    <row r="74" spans="1:27" ht="14.4" thickBot="1" x14ac:dyDescent="0.3">
      <c r="A74" s="160" t="s">
        <v>346</v>
      </c>
      <c r="T74" s="50">
        <v>400000</v>
      </c>
      <c r="U74" s="51">
        <v>900000</v>
      </c>
      <c r="W74"/>
    </row>
    <row r="75" spans="1:27" ht="13.8" thickBot="1" x14ac:dyDescent="0.3">
      <c r="A75" s="179" t="s">
        <v>355</v>
      </c>
      <c r="T75" s="175">
        <v>320000</v>
      </c>
      <c r="U75" s="176">
        <v>760000</v>
      </c>
      <c r="W75"/>
    </row>
    <row r="76" spans="1:27" x14ac:dyDescent="0.25">
      <c r="W76"/>
    </row>
    <row r="77" spans="1:27" x14ac:dyDescent="0.25">
      <c r="W77"/>
    </row>
    <row r="78" spans="1:27" x14ac:dyDescent="0.25">
      <c r="W78"/>
    </row>
    <row r="79" spans="1:27" x14ac:dyDescent="0.25">
      <c r="F79" t="s">
        <v>332</v>
      </c>
      <c r="K79" s="89"/>
      <c r="W79"/>
    </row>
    <row r="80" spans="1:27" x14ac:dyDescent="0.25">
      <c r="F80" s="113" t="s">
        <v>333</v>
      </c>
      <c r="G80" s="111">
        <v>2006</v>
      </c>
      <c r="H80" s="111">
        <v>2008</v>
      </c>
      <c r="I80" s="112">
        <v>2010</v>
      </c>
      <c r="J80" s="112">
        <v>2012</v>
      </c>
      <c r="K80" s="112" t="s">
        <v>331</v>
      </c>
      <c r="L80" s="112">
        <v>2014</v>
      </c>
      <c r="M80" s="127" t="s">
        <v>339</v>
      </c>
      <c r="N80" s="112" t="s">
        <v>141</v>
      </c>
      <c r="W80"/>
    </row>
    <row r="81" spans="6:23" x14ac:dyDescent="0.25">
      <c r="F81" s="96" t="s">
        <v>116</v>
      </c>
      <c r="G81" s="12">
        <v>15000</v>
      </c>
      <c r="H81" s="12">
        <v>2140</v>
      </c>
      <c r="I81" s="12">
        <v>6108</v>
      </c>
      <c r="J81" s="12">
        <v>1598</v>
      </c>
      <c r="K81" s="12"/>
      <c r="L81" s="12"/>
      <c r="M81" s="12"/>
      <c r="N81" s="12"/>
      <c r="W81"/>
    </row>
    <row r="82" spans="6:23" x14ac:dyDescent="0.25">
      <c r="F82" t="s">
        <v>40</v>
      </c>
      <c r="G82" s="12">
        <v>19000</v>
      </c>
      <c r="H82" s="12">
        <v>1500</v>
      </c>
      <c r="I82" s="12">
        <v>13000</v>
      </c>
      <c r="J82" s="12">
        <v>500</v>
      </c>
      <c r="K82" s="12">
        <v>2125</v>
      </c>
      <c r="L82" s="12">
        <v>3500</v>
      </c>
      <c r="M82" s="12">
        <v>4750</v>
      </c>
      <c r="N82" s="12">
        <v>19000</v>
      </c>
      <c r="W82"/>
    </row>
    <row r="83" spans="6:23" x14ac:dyDescent="0.25">
      <c r="F83" t="s">
        <v>142</v>
      </c>
      <c r="G83" s="12">
        <v>13000</v>
      </c>
      <c r="H83" s="12">
        <v>2100</v>
      </c>
      <c r="I83" s="12">
        <v>40000</v>
      </c>
      <c r="J83" s="12">
        <v>5000</v>
      </c>
      <c r="K83" s="12">
        <v>6700</v>
      </c>
      <c r="L83" s="12">
        <v>3500</v>
      </c>
      <c r="M83" s="12">
        <v>8000</v>
      </c>
      <c r="N83" s="12">
        <v>36000</v>
      </c>
      <c r="P83" s="11"/>
      <c r="Q83" s="11"/>
      <c r="W83"/>
    </row>
    <row r="84" spans="6:23" x14ac:dyDescent="0.25">
      <c r="F84" t="s">
        <v>111</v>
      </c>
      <c r="G84" s="12">
        <v>22000</v>
      </c>
      <c r="H84" s="12">
        <v>7500</v>
      </c>
      <c r="I84" s="12">
        <v>5000</v>
      </c>
      <c r="J84" s="12">
        <v>2500</v>
      </c>
      <c r="K84" s="11"/>
      <c r="L84" s="11">
        <v>800</v>
      </c>
      <c r="M84" s="11"/>
      <c r="N84" s="12">
        <v>21000</v>
      </c>
      <c r="W84"/>
    </row>
    <row r="85" spans="6:23" x14ac:dyDescent="0.25">
      <c r="F85" t="s">
        <v>44</v>
      </c>
      <c r="G85" s="12">
        <v>17000</v>
      </c>
      <c r="H85" s="12">
        <v>6400</v>
      </c>
      <c r="I85" s="12">
        <v>10000</v>
      </c>
      <c r="J85" s="12">
        <v>1800</v>
      </c>
      <c r="K85" s="12">
        <v>5150</v>
      </c>
      <c r="L85" s="12">
        <v>4000</v>
      </c>
      <c r="M85" s="12">
        <v>5240</v>
      </c>
      <c r="N85" s="12">
        <v>30000</v>
      </c>
      <c r="W85"/>
    </row>
    <row r="86" spans="6:23" x14ac:dyDescent="0.25">
      <c r="F86" t="s">
        <v>120</v>
      </c>
      <c r="G86" s="12">
        <v>13000</v>
      </c>
      <c r="H86" s="12">
        <v>7000</v>
      </c>
      <c r="I86" s="12">
        <v>11000</v>
      </c>
      <c r="J86" s="12">
        <v>1400</v>
      </c>
      <c r="K86" s="11"/>
      <c r="L86" s="11">
        <v>2500</v>
      </c>
      <c r="M86" s="11"/>
      <c r="N86" s="12">
        <v>33000</v>
      </c>
      <c r="W86"/>
    </row>
    <row r="87" spans="6:23" x14ac:dyDescent="0.25">
      <c r="F87" t="s">
        <v>137</v>
      </c>
      <c r="G87" s="12">
        <v>32000</v>
      </c>
      <c r="H87" s="12">
        <v>1100</v>
      </c>
      <c r="I87" s="12">
        <v>5000</v>
      </c>
      <c r="J87" s="12">
        <v>1200</v>
      </c>
      <c r="K87" s="12">
        <v>575</v>
      </c>
      <c r="L87" s="12">
        <v>1500</v>
      </c>
      <c r="M87" s="12">
        <v>3600</v>
      </c>
      <c r="N87" s="12">
        <v>19000</v>
      </c>
      <c r="W87"/>
    </row>
    <row r="88" spans="6:23" x14ac:dyDescent="0.25">
      <c r="F88" t="s">
        <v>119</v>
      </c>
      <c r="G88" s="12">
        <v>18000</v>
      </c>
      <c r="H88" s="12">
        <v>2000</v>
      </c>
      <c r="I88" s="12">
        <v>7000</v>
      </c>
      <c r="J88" s="12">
        <v>1500</v>
      </c>
      <c r="K88" s="11"/>
      <c r="L88" s="11">
        <v>800</v>
      </c>
      <c r="M88" s="11"/>
      <c r="N88" s="12">
        <v>28000</v>
      </c>
      <c r="W88"/>
    </row>
    <row r="89" spans="6:23" x14ac:dyDescent="0.25">
      <c r="F89" t="s">
        <v>139</v>
      </c>
      <c r="G89" s="12">
        <v>65000</v>
      </c>
      <c r="H89" s="12">
        <v>7000</v>
      </c>
      <c r="I89" s="12">
        <v>18000</v>
      </c>
      <c r="J89" s="12">
        <v>3000</v>
      </c>
      <c r="K89" s="11"/>
      <c r="L89" s="11">
        <v>5000</v>
      </c>
      <c r="M89" s="11"/>
      <c r="N89" s="12">
        <v>92000</v>
      </c>
      <c r="W89"/>
    </row>
    <row r="90" spans="6:23" x14ac:dyDescent="0.25">
      <c r="F90" t="s">
        <v>41</v>
      </c>
      <c r="G90" s="12">
        <v>19000</v>
      </c>
      <c r="H90" s="12">
        <v>2500</v>
      </c>
      <c r="I90" s="12">
        <v>20000</v>
      </c>
      <c r="J90" s="12">
        <v>200</v>
      </c>
      <c r="K90" s="12">
        <v>1475</v>
      </c>
      <c r="L90" s="12">
        <v>3500</v>
      </c>
      <c r="M90" s="12">
        <v>8600</v>
      </c>
      <c r="N90" s="12">
        <v>24000</v>
      </c>
      <c r="W90"/>
    </row>
    <row r="91" spans="6:23" x14ac:dyDescent="0.25">
      <c r="F91" t="s">
        <v>145</v>
      </c>
      <c r="G91" s="12">
        <v>45000</v>
      </c>
      <c r="H91" s="12">
        <v>8000</v>
      </c>
      <c r="I91" s="12">
        <v>10400</v>
      </c>
      <c r="J91" s="12">
        <v>10000</v>
      </c>
      <c r="K91" s="11"/>
      <c r="L91" s="11">
        <v>6000</v>
      </c>
      <c r="M91" s="11"/>
      <c r="N91" s="12">
        <v>70000</v>
      </c>
      <c r="W91"/>
    </row>
    <row r="92" spans="6:23" x14ac:dyDescent="0.25">
      <c r="F92" t="s">
        <v>136</v>
      </c>
      <c r="G92" s="12">
        <v>11000</v>
      </c>
      <c r="H92" s="12">
        <v>4000</v>
      </c>
      <c r="I92" s="12">
        <v>5000</v>
      </c>
      <c r="J92" s="12">
        <v>3500</v>
      </c>
      <c r="K92" s="11"/>
      <c r="L92" s="11">
        <v>15000</v>
      </c>
      <c r="M92" s="11"/>
      <c r="N92" s="12">
        <v>33000</v>
      </c>
      <c r="W92"/>
    </row>
    <row r="93" spans="6:23" x14ac:dyDescent="0.25">
      <c r="F93" t="s">
        <v>135</v>
      </c>
      <c r="G93" s="12">
        <v>11000</v>
      </c>
      <c r="H93" s="12">
        <v>5000</v>
      </c>
      <c r="I93" s="12">
        <v>27000</v>
      </c>
      <c r="J93" s="12">
        <v>12000</v>
      </c>
      <c r="K93" s="11"/>
      <c r="L93" s="11">
        <v>9000</v>
      </c>
      <c r="M93" s="11"/>
      <c r="N93" s="12">
        <v>84000</v>
      </c>
      <c r="W93"/>
    </row>
    <row r="94" spans="6:23" x14ac:dyDescent="0.25">
      <c r="F94" t="s">
        <v>138</v>
      </c>
      <c r="G94" s="12">
        <v>38000</v>
      </c>
      <c r="H94" s="12">
        <v>10000</v>
      </c>
      <c r="I94" s="12">
        <v>28000</v>
      </c>
      <c r="J94" s="11">
        <v>10000</v>
      </c>
      <c r="K94" s="11"/>
      <c r="L94" s="11">
        <v>11000</v>
      </c>
      <c r="M94" s="11"/>
      <c r="N94" s="12">
        <v>73000</v>
      </c>
      <c r="W94"/>
    </row>
    <row r="95" spans="6:23" x14ac:dyDescent="0.25">
      <c r="F95" t="s">
        <v>122</v>
      </c>
      <c r="G95" s="12">
        <v>19000</v>
      </c>
      <c r="H95" s="12">
        <v>6665</v>
      </c>
      <c r="I95" s="12">
        <v>35000</v>
      </c>
      <c r="J95" s="12">
        <v>1800</v>
      </c>
      <c r="K95" s="11"/>
      <c r="L95" s="11">
        <v>3000</v>
      </c>
      <c r="M95" s="11"/>
      <c r="N95" s="12">
        <v>40000</v>
      </c>
      <c r="W95"/>
    </row>
    <row r="96" spans="6:23" x14ac:dyDescent="0.25">
      <c r="F96" t="s">
        <v>144</v>
      </c>
      <c r="G96" s="12">
        <v>26000</v>
      </c>
      <c r="H96" s="12">
        <v>3500</v>
      </c>
      <c r="I96" s="12">
        <v>2200</v>
      </c>
      <c r="J96" s="12">
        <v>4500</v>
      </c>
      <c r="K96" s="11"/>
      <c r="L96" s="11">
        <v>1200</v>
      </c>
      <c r="M96" s="11"/>
      <c r="N96" s="12">
        <v>14000</v>
      </c>
      <c r="W96"/>
    </row>
    <row r="97" spans="6:23" x14ac:dyDescent="0.25">
      <c r="F97" s="96" t="s">
        <v>330</v>
      </c>
      <c r="G97" s="12">
        <v>17000</v>
      </c>
      <c r="H97" s="12">
        <v>6500</v>
      </c>
      <c r="I97" s="12">
        <v>4500</v>
      </c>
      <c r="J97" s="12">
        <v>300</v>
      </c>
      <c r="K97" s="11"/>
      <c r="L97" s="11">
        <v>1000</v>
      </c>
      <c r="M97" s="11"/>
      <c r="N97" s="12">
        <v>18000</v>
      </c>
      <c r="W97"/>
    </row>
    <row r="98" spans="6:23" x14ac:dyDescent="0.25">
      <c r="F98" t="s">
        <v>147</v>
      </c>
      <c r="G98" s="12">
        <v>4000</v>
      </c>
      <c r="H98" s="12">
        <v>800</v>
      </c>
      <c r="I98" s="12">
        <v>2500</v>
      </c>
      <c r="J98" s="12">
        <v>1500</v>
      </c>
      <c r="K98" s="11"/>
      <c r="L98" s="11">
        <v>1500</v>
      </c>
      <c r="M98" s="11"/>
      <c r="N98" s="12">
        <v>12000</v>
      </c>
      <c r="W98"/>
    </row>
    <row r="99" spans="6:23" x14ac:dyDescent="0.25">
      <c r="F99" t="s">
        <v>146</v>
      </c>
      <c r="G99" s="12">
        <v>41000</v>
      </c>
      <c r="H99" s="12">
        <v>6000</v>
      </c>
      <c r="I99" s="12">
        <v>5000</v>
      </c>
      <c r="J99" s="12">
        <v>4500</v>
      </c>
      <c r="K99" s="11"/>
      <c r="L99" s="11">
        <v>3000</v>
      </c>
      <c r="M99" s="11"/>
      <c r="N99" s="12">
        <v>33000</v>
      </c>
      <c r="W99"/>
    </row>
    <row r="100" spans="6:23" x14ac:dyDescent="0.25">
      <c r="F100" s="34" t="s">
        <v>143</v>
      </c>
      <c r="G100" s="94">
        <v>10000</v>
      </c>
      <c r="H100" s="94">
        <v>2000</v>
      </c>
      <c r="I100" s="94">
        <v>7000</v>
      </c>
      <c r="J100" s="94">
        <v>1000</v>
      </c>
      <c r="K100" s="94">
        <v>2800</v>
      </c>
      <c r="L100" s="94">
        <v>1100</v>
      </c>
      <c r="M100" s="94">
        <v>5150</v>
      </c>
      <c r="N100" s="94">
        <v>14000</v>
      </c>
      <c r="O100" s="11"/>
      <c r="P100" s="95"/>
      <c r="W100"/>
    </row>
    <row r="101" spans="6:23" x14ac:dyDescent="0.25">
      <c r="F101" s="14" t="s">
        <v>335</v>
      </c>
      <c r="G101" s="95">
        <f t="shared" ref="G101:N101" si="12">SUM(G81:G100)</f>
        <v>455000</v>
      </c>
      <c r="H101" s="95">
        <f t="shared" si="12"/>
        <v>91705</v>
      </c>
      <c r="I101" s="95">
        <f t="shared" si="12"/>
        <v>261708</v>
      </c>
      <c r="J101" s="95">
        <f t="shared" si="12"/>
        <v>67798</v>
      </c>
      <c r="K101" s="95">
        <f t="shared" si="12"/>
        <v>18825</v>
      </c>
      <c r="L101" s="95">
        <f t="shared" si="12"/>
        <v>76900</v>
      </c>
      <c r="M101" s="95">
        <f t="shared" si="12"/>
        <v>35340</v>
      </c>
      <c r="N101" s="110">
        <f t="shared" si="12"/>
        <v>693000</v>
      </c>
      <c r="W101"/>
    </row>
    <row r="102" spans="6:23" x14ac:dyDescent="0.25">
      <c r="F102" t="s">
        <v>336</v>
      </c>
      <c r="G102" s="12">
        <v>320000</v>
      </c>
      <c r="H102" s="12">
        <v>320000</v>
      </c>
      <c r="I102" s="12">
        <v>320000</v>
      </c>
      <c r="J102" s="12">
        <v>320000</v>
      </c>
      <c r="W102"/>
    </row>
    <row r="103" spans="6:23" x14ac:dyDescent="0.25">
      <c r="F103" t="s">
        <v>337</v>
      </c>
      <c r="G103" s="12">
        <v>760000</v>
      </c>
      <c r="H103" s="12">
        <v>760000</v>
      </c>
      <c r="I103" s="12">
        <v>760000</v>
      </c>
      <c r="J103" s="12">
        <v>760000</v>
      </c>
      <c r="W103"/>
    </row>
    <row r="104" spans="6:23" x14ac:dyDescent="0.25">
      <c r="F104" s="14" t="s">
        <v>148</v>
      </c>
      <c r="H104" s="14" t="s">
        <v>293</v>
      </c>
      <c r="W104"/>
    </row>
    <row r="105" spans="6:23" x14ac:dyDescent="0.25">
      <c r="F105" s="78"/>
      <c r="H105" s="14"/>
      <c r="W105"/>
    </row>
    <row r="106" spans="6:23" x14ac:dyDescent="0.25">
      <c r="W106"/>
    </row>
    <row r="107" spans="6:23" x14ac:dyDescent="0.25">
      <c r="W107"/>
    </row>
    <row r="108" spans="6:23" x14ac:dyDescent="0.25">
      <c r="W108"/>
    </row>
    <row r="109" spans="6:23" x14ac:dyDescent="0.25">
      <c r="W109"/>
    </row>
    <row r="110" spans="6:23" x14ac:dyDescent="0.25">
      <c r="W110"/>
    </row>
    <row r="111" spans="6:23" x14ac:dyDescent="0.25">
      <c r="W111"/>
    </row>
    <row r="112" spans="6:23" x14ac:dyDescent="0.25">
      <c r="W112"/>
    </row>
    <row r="113" spans="23:23" x14ac:dyDescent="0.25">
      <c r="W113"/>
    </row>
    <row r="114" spans="23:23" x14ac:dyDescent="0.25">
      <c r="W114"/>
    </row>
    <row r="115" spans="23:23" x14ac:dyDescent="0.25">
      <c r="W115"/>
    </row>
    <row r="116" spans="23:23" x14ac:dyDescent="0.25">
      <c r="W116"/>
    </row>
    <row r="117" spans="23:23" x14ac:dyDescent="0.25">
      <c r="W117"/>
    </row>
    <row r="118" spans="23:23" x14ac:dyDescent="0.25">
      <c r="W118"/>
    </row>
    <row r="119" spans="23:23" x14ac:dyDescent="0.25">
      <c r="W119"/>
    </row>
    <row r="120" spans="23:23" x14ac:dyDescent="0.25">
      <c r="W120"/>
    </row>
    <row r="121" spans="23:23" x14ac:dyDescent="0.25">
      <c r="W121"/>
    </row>
    <row r="122" spans="23:23" x14ac:dyDescent="0.25">
      <c r="W122"/>
    </row>
    <row r="123" spans="23:23" x14ac:dyDescent="0.25">
      <c r="W123"/>
    </row>
    <row r="124" spans="23:23" x14ac:dyDescent="0.25">
      <c r="W124"/>
    </row>
    <row r="125" spans="23:23" x14ac:dyDescent="0.25">
      <c r="W125"/>
    </row>
    <row r="126" spans="23:23" x14ac:dyDescent="0.25">
      <c r="W126"/>
    </row>
    <row r="127" spans="23:23" x14ac:dyDescent="0.25">
      <c r="W127"/>
    </row>
    <row r="128" spans="23:23" x14ac:dyDescent="0.25">
      <c r="W128"/>
    </row>
    <row r="129" spans="23:23" x14ac:dyDescent="0.25">
      <c r="W129"/>
    </row>
    <row r="130" spans="23:23" x14ac:dyDescent="0.25">
      <c r="W130"/>
    </row>
    <row r="131" spans="23:23" x14ac:dyDescent="0.25">
      <c r="W131"/>
    </row>
    <row r="132" spans="23:23" x14ac:dyDescent="0.25">
      <c r="W132"/>
    </row>
    <row r="133" spans="23:23" x14ac:dyDescent="0.25">
      <c r="W133"/>
    </row>
    <row r="134" spans="23:23" x14ac:dyDescent="0.25">
      <c r="W134"/>
    </row>
    <row r="135" spans="23:23" x14ac:dyDescent="0.25">
      <c r="W135"/>
    </row>
    <row r="136" spans="23:23" x14ac:dyDescent="0.25">
      <c r="W136"/>
    </row>
    <row r="137" spans="23:23" x14ac:dyDescent="0.25">
      <c r="W137"/>
    </row>
    <row r="138" spans="23:23" x14ac:dyDescent="0.25">
      <c r="W138"/>
    </row>
    <row r="139" spans="23:23" x14ac:dyDescent="0.25">
      <c r="W139"/>
    </row>
    <row r="140" spans="23:23" x14ac:dyDescent="0.25">
      <c r="W140"/>
    </row>
    <row r="141" spans="23:23" x14ac:dyDescent="0.25">
      <c r="W141"/>
    </row>
    <row r="142" spans="23:23" x14ac:dyDescent="0.25">
      <c r="W142"/>
    </row>
    <row r="143" spans="23:23" x14ac:dyDescent="0.25">
      <c r="W143"/>
    </row>
    <row r="144" spans="23:23" x14ac:dyDescent="0.25">
      <c r="W144"/>
    </row>
    <row r="145" spans="23:23" x14ac:dyDescent="0.25">
      <c r="W145"/>
    </row>
    <row r="146" spans="23:23" x14ac:dyDescent="0.25">
      <c r="W146"/>
    </row>
    <row r="147" spans="23:23" x14ac:dyDescent="0.25">
      <c r="W147"/>
    </row>
    <row r="148" spans="23:23" x14ac:dyDescent="0.25">
      <c r="W148"/>
    </row>
    <row r="149" spans="23:23" x14ac:dyDescent="0.25">
      <c r="W149"/>
    </row>
    <row r="150" spans="23:23" x14ac:dyDescent="0.25">
      <c r="W150"/>
    </row>
    <row r="151" spans="23:23" x14ac:dyDescent="0.25">
      <c r="W151"/>
    </row>
    <row r="152" spans="23:23" x14ac:dyDescent="0.25">
      <c r="W152"/>
    </row>
    <row r="153" spans="23:23" x14ac:dyDescent="0.25">
      <c r="W153"/>
    </row>
    <row r="154" spans="23:23" x14ac:dyDescent="0.25">
      <c r="W154"/>
    </row>
    <row r="155" spans="23:23" x14ac:dyDescent="0.25">
      <c r="W155"/>
    </row>
    <row r="156" spans="23:23" x14ac:dyDescent="0.25">
      <c r="W156"/>
    </row>
    <row r="157" spans="23:23" x14ac:dyDescent="0.25">
      <c r="W157"/>
    </row>
    <row r="158" spans="23:23" x14ac:dyDescent="0.25">
      <c r="W158"/>
    </row>
    <row r="159" spans="23:23" x14ac:dyDescent="0.25">
      <c r="W159"/>
    </row>
    <row r="160" spans="23:23" x14ac:dyDescent="0.25">
      <c r="W160"/>
    </row>
    <row r="161" spans="23:23" x14ac:dyDescent="0.25">
      <c r="W161"/>
    </row>
    <row r="162" spans="23:23" x14ac:dyDescent="0.25">
      <c r="W162"/>
    </row>
    <row r="163" spans="23:23" x14ac:dyDescent="0.25">
      <c r="W163"/>
    </row>
    <row r="164" spans="23:23" x14ac:dyDescent="0.25">
      <c r="W164"/>
    </row>
    <row r="165" spans="23:23" x14ac:dyDescent="0.25">
      <c r="W165"/>
    </row>
  </sheetData>
  <sortState xmlns:xlrd2="http://schemas.microsoft.com/office/spreadsheetml/2017/richdata2" ref="F76:L95">
    <sortCondition ref="F75"/>
  </sortState>
  <mergeCells count="1">
    <mergeCell ref="T73:U73"/>
  </mergeCells>
  <phoneticPr fontId="10" type="noConversion"/>
  <pageMargins left="0.2" right="0.19" top="1" bottom="1" header="0.5" footer="0.5"/>
  <pageSetup orientation="landscape" r:id="rId1"/>
  <headerFooter alignWithMargins="0">
    <oddFooter>&amp;A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rgb="FF92D050"/>
    <pageSetUpPr fitToPage="1"/>
  </sheetPr>
  <dimension ref="A1:N77"/>
  <sheetViews>
    <sheetView zoomScale="80" zoomScaleNormal="80" workbookViewId="0">
      <pane xSplit="1" ySplit="2" topLeftCell="B42" activePane="bottomRight" state="frozen"/>
      <selection pane="topRight" activeCell="B1" sqref="B1"/>
      <selection pane="bottomLeft" activeCell="A3" sqref="A3"/>
      <selection pane="bottomRight" activeCell="B67" sqref="B67"/>
    </sheetView>
  </sheetViews>
  <sheetFormatPr defaultRowHeight="13.2" x14ac:dyDescent="0.25"/>
  <cols>
    <col min="1" max="1" width="22.5546875" bestFit="1" customWidth="1"/>
    <col min="2" max="2" width="19.109375" bestFit="1" customWidth="1"/>
    <col min="3" max="3" width="19.88671875" bestFit="1" customWidth="1"/>
    <col min="4" max="4" width="20.109375" bestFit="1" customWidth="1"/>
    <col min="5" max="5" width="15.6640625" bestFit="1" customWidth="1"/>
    <col min="6" max="6" width="16" bestFit="1" customWidth="1"/>
    <col min="7" max="7" width="21.5546875" bestFit="1" customWidth="1"/>
    <col min="8" max="8" width="13.5546875" bestFit="1" customWidth="1"/>
    <col min="9" max="9" width="19.88671875" bestFit="1" customWidth="1"/>
    <col min="10" max="10" width="11.33203125" bestFit="1" customWidth="1"/>
    <col min="11" max="11" width="1.6640625" style="28" customWidth="1"/>
    <col min="12" max="12" width="12" style="26" customWidth="1"/>
    <col min="13" max="14" width="11.44140625" bestFit="1" customWidth="1"/>
    <col min="19" max="19" width="9.109375" customWidth="1"/>
    <col min="21" max="21" width="9.109375" customWidth="1"/>
  </cols>
  <sheetData>
    <row r="1" spans="1:12" s="14" customFormat="1" x14ac:dyDescent="0.25">
      <c r="B1" s="38" t="s">
        <v>61</v>
      </c>
      <c r="C1" s="38" t="s">
        <v>62</v>
      </c>
      <c r="D1" s="38" t="s">
        <v>63</v>
      </c>
      <c r="E1" s="38" t="s">
        <v>64</v>
      </c>
      <c r="F1" s="38" t="s">
        <v>65</v>
      </c>
      <c r="G1" s="38" t="s">
        <v>66</v>
      </c>
      <c r="H1" s="38" t="s">
        <v>67</v>
      </c>
      <c r="I1" s="38" t="s">
        <v>68</v>
      </c>
      <c r="K1" s="29"/>
      <c r="L1" s="26"/>
    </row>
    <row r="2" spans="1:12" s="14" customFormat="1" x14ac:dyDescent="0.25">
      <c r="B2" s="15" t="s">
        <v>69</v>
      </c>
      <c r="C2" s="14" t="s">
        <v>70</v>
      </c>
      <c r="D2" s="14" t="s">
        <v>71</v>
      </c>
      <c r="E2" s="14" t="s">
        <v>72</v>
      </c>
      <c r="F2" s="14" t="s">
        <v>73</v>
      </c>
      <c r="G2" s="14" t="s">
        <v>74</v>
      </c>
      <c r="H2" s="15" t="s">
        <v>75</v>
      </c>
      <c r="I2" s="14" t="s">
        <v>76</v>
      </c>
      <c r="J2" s="14" t="s">
        <v>4</v>
      </c>
      <c r="K2" s="29"/>
      <c r="L2" s="26" t="s">
        <v>140</v>
      </c>
    </row>
    <row r="3" spans="1:12" x14ac:dyDescent="0.25">
      <c r="A3" s="6">
        <v>1960</v>
      </c>
      <c r="B3" s="1">
        <v>61.228090968640466</v>
      </c>
      <c r="C3" s="1">
        <v>90.313543434877374</v>
      </c>
      <c r="D3" s="1">
        <v>46.306418668108059</v>
      </c>
      <c r="E3" s="2">
        <v>300</v>
      </c>
      <c r="F3" s="2">
        <v>750</v>
      </c>
      <c r="G3" s="1">
        <v>105.13920195814988</v>
      </c>
      <c r="H3" s="1">
        <v>55.542838584487512</v>
      </c>
      <c r="I3" s="1">
        <v>118.44216937304654</v>
      </c>
      <c r="J3" s="10">
        <f t="shared" ref="J3:J34" si="0">SUM(B3:I3)</f>
        <v>1526.9722629873097</v>
      </c>
      <c r="L3" s="60">
        <v>2724</v>
      </c>
    </row>
    <row r="4" spans="1:12" x14ac:dyDescent="0.25">
      <c r="A4" s="6">
        <v>1961</v>
      </c>
      <c r="B4" s="1">
        <v>2475.8894563648628</v>
      </c>
      <c r="C4" s="1">
        <v>3652.0222393002273</v>
      </c>
      <c r="D4" s="1">
        <v>1872.4995661607716</v>
      </c>
      <c r="E4" s="2">
        <v>30000</v>
      </c>
      <c r="F4" s="2">
        <v>15000</v>
      </c>
      <c r="G4" s="2">
        <v>4500</v>
      </c>
      <c r="H4" s="1">
        <v>2245.994055179086</v>
      </c>
      <c r="I4" s="2">
        <v>2000</v>
      </c>
      <c r="J4" s="10">
        <f t="shared" si="0"/>
        <v>61746.405317004952</v>
      </c>
      <c r="L4" s="60">
        <v>534075</v>
      </c>
    </row>
    <row r="5" spans="1:12" x14ac:dyDescent="0.25">
      <c r="A5" s="6">
        <v>1962</v>
      </c>
      <c r="B5" s="2">
        <v>2000</v>
      </c>
      <c r="C5" s="2">
        <v>200</v>
      </c>
      <c r="D5" s="1">
        <v>656.35713901460031</v>
      </c>
      <c r="E5" s="2">
        <v>1000</v>
      </c>
      <c r="F5" s="2">
        <v>12000</v>
      </c>
      <c r="G5" s="2">
        <v>500</v>
      </c>
      <c r="H5" s="1">
        <v>787.27614069760284</v>
      </c>
      <c r="I5" s="2">
        <v>4500</v>
      </c>
      <c r="J5" s="10">
        <f t="shared" si="0"/>
        <v>21643.633279712205</v>
      </c>
      <c r="L5" s="60">
        <v>11940</v>
      </c>
    </row>
    <row r="6" spans="1:12" x14ac:dyDescent="0.25">
      <c r="A6" s="6">
        <v>1963</v>
      </c>
      <c r="B6" s="2">
        <v>4000</v>
      </c>
      <c r="C6" s="2">
        <v>900</v>
      </c>
      <c r="D6" s="1">
        <v>7665.0816447440038</v>
      </c>
      <c r="E6" s="2">
        <v>108000</v>
      </c>
      <c r="F6" s="2">
        <v>100000</v>
      </c>
      <c r="G6" s="2">
        <v>13000</v>
      </c>
      <c r="H6" s="1">
        <v>9193.9822596216163</v>
      </c>
      <c r="I6" s="2">
        <v>10000</v>
      </c>
      <c r="J6" s="10">
        <f t="shared" si="0"/>
        <v>252759.06390436561</v>
      </c>
      <c r="L6" s="60">
        <v>710843</v>
      </c>
    </row>
    <row r="7" spans="1:12" x14ac:dyDescent="0.25">
      <c r="A7" s="6">
        <v>1964</v>
      </c>
      <c r="B7" s="2">
        <v>2000</v>
      </c>
      <c r="C7" s="2">
        <v>2500</v>
      </c>
      <c r="D7" s="1">
        <v>584.87269866110478</v>
      </c>
      <c r="E7" s="2">
        <v>200</v>
      </c>
      <c r="F7" s="2">
        <v>12000</v>
      </c>
      <c r="G7" s="2">
        <v>300</v>
      </c>
      <c r="H7" s="1">
        <v>701.53319489955857</v>
      </c>
      <c r="I7" s="2">
        <v>1000</v>
      </c>
      <c r="J7" s="10">
        <f t="shared" si="0"/>
        <v>19286.405893560663</v>
      </c>
      <c r="L7" s="60">
        <v>27366</v>
      </c>
    </row>
    <row r="8" spans="1:12" x14ac:dyDescent="0.25">
      <c r="A8" s="6">
        <v>1965</v>
      </c>
      <c r="B8" s="2">
        <v>500</v>
      </c>
      <c r="C8" s="1">
        <v>2909.3908018132615</v>
      </c>
      <c r="D8" s="1">
        <v>1491.7305166443857</v>
      </c>
      <c r="E8" s="2">
        <v>28000</v>
      </c>
      <c r="F8" s="2">
        <v>12000</v>
      </c>
      <c r="G8" s="2">
        <v>1000</v>
      </c>
      <c r="H8" s="1">
        <v>1789.2756448281837</v>
      </c>
      <c r="I8" s="2">
        <v>1500</v>
      </c>
      <c r="J8" s="10">
        <f t="shared" si="0"/>
        <v>49190.396963285835</v>
      </c>
      <c r="L8" s="60">
        <v>351619</v>
      </c>
    </row>
    <row r="9" spans="1:12" x14ac:dyDescent="0.25">
      <c r="A9" s="6">
        <v>1966</v>
      </c>
      <c r="B9" s="2">
        <v>200</v>
      </c>
      <c r="C9" s="1">
        <v>542.86033927098708</v>
      </c>
      <c r="D9" s="1">
        <v>278.34051445812639</v>
      </c>
      <c r="E9" s="1">
        <v>3691.3523487359075</v>
      </c>
      <c r="F9" s="2">
        <v>3000</v>
      </c>
      <c r="G9" s="1">
        <v>631.97501935850948</v>
      </c>
      <c r="H9" s="1">
        <v>333.85916825863222</v>
      </c>
      <c r="I9" s="2">
        <v>500</v>
      </c>
      <c r="J9" s="10">
        <f t="shared" si="0"/>
        <v>9178.3873900821618</v>
      </c>
      <c r="L9" s="60">
        <v>12437</v>
      </c>
    </row>
    <row r="10" spans="1:12" x14ac:dyDescent="0.25">
      <c r="A10" s="6">
        <v>1967</v>
      </c>
      <c r="B10" s="2">
        <v>1000</v>
      </c>
      <c r="C10" s="2">
        <v>1500</v>
      </c>
      <c r="D10" s="1">
        <v>1202.2383255112288</v>
      </c>
      <c r="E10" s="2">
        <v>20000</v>
      </c>
      <c r="F10" s="2">
        <v>13000</v>
      </c>
      <c r="G10" s="2">
        <v>1000</v>
      </c>
      <c r="H10" s="1">
        <v>1442.0404563790601</v>
      </c>
      <c r="I10" s="2">
        <v>500</v>
      </c>
      <c r="J10" s="10">
        <f t="shared" si="0"/>
        <v>39644.278781890287</v>
      </c>
      <c r="L10" s="60">
        <v>50232</v>
      </c>
    </row>
    <row r="11" spans="1:12" x14ac:dyDescent="0.25">
      <c r="A11" s="6">
        <v>1968</v>
      </c>
      <c r="B11" s="2">
        <v>200</v>
      </c>
      <c r="C11" s="2">
        <v>300</v>
      </c>
      <c r="D11" s="1">
        <v>211.26045092344521</v>
      </c>
      <c r="E11" s="1">
        <v>2801.7364144792678</v>
      </c>
      <c r="F11" s="2">
        <v>2500</v>
      </c>
      <c r="G11" s="2">
        <v>500</v>
      </c>
      <c r="H11" s="1">
        <v>253.39910664581228</v>
      </c>
      <c r="I11" s="2">
        <v>200</v>
      </c>
      <c r="J11" s="10">
        <f t="shared" si="0"/>
        <v>6966.3959720485245</v>
      </c>
      <c r="L11" s="60">
        <v>13662</v>
      </c>
    </row>
    <row r="12" spans="1:12" x14ac:dyDescent="0.25">
      <c r="A12" s="6">
        <v>1969</v>
      </c>
      <c r="B12" s="1">
        <v>5656.3093616309661</v>
      </c>
      <c r="C12" s="1">
        <v>8343.2511600380494</v>
      </c>
      <c r="D12" s="1">
        <v>4277.8310694700967</v>
      </c>
      <c r="E12" s="2">
        <v>75000</v>
      </c>
      <c r="F12" s="2">
        <v>22000</v>
      </c>
      <c r="G12" s="1">
        <v>9712.8596152987575</v>
      </c>
      <c r="H12" s="1">
        <v>5131.1003314989548</v>
      </c>
      <c r="I12" s="1">
        <v>10941.800412738865</v>
      </c>
      <c r="J12" s="10">
        <f t="shared" si="0"/>
        <v>141063.15195067567</v>
      </c>
      <c r="L12" s="60">
        <v>95053</v>
      </c>
    </row>
    <row r="13" spans="1:12" x14ac:dyDescent="0.25">
      <c r="A13" s="6">
        <v>1970</v>
      </c>
      <c r="B13" s="1">
        <v>959.96543811496463</v>
      </c>
      <c r="C13" s="2">
        <v>250</v>
      </c>
      <c r="D13" s="1">
        <v>726.01578932997984</v>
      </c>
      <c r="E13" s="1">
        <v>9628.4235192062461</v>
      </c>
      <c r="F13" s="2">
        <v>8000</v>
      </c>
      <c r="G13" s="1">
        <v>1648.4265508588917</v>
      </c>
      <c r="H13" s="1">
        <v>870.82923184301103</v>
      </c>
      <c r="I13" s="1">
        <v>1856.997358673028</v>
      </c>
      <c r="J13" s="10">
        <f t="shared" si="0"/>
        <v>23940.657888026119</v>
      </c>
      <c r="L13" s="60">
        <v>28170</v>
      </c>
    </row>
    <row r="14" spans="1:12" x14ac:dyDescent="0.25">
      <c r="A14" s="6">
        <v>1971</v>
      </c>
      <c r="B14" s="1">
        <v>2523.9649882473404</v>
      </c>
      <c r="C14" s="1">
        <v>3722.9352947578009</v>
      </c>
      <c r="D14" s="1">
        <v>1908.8587915214878</v>
      </c>
      <c r="E14" s="2">
        <v>40000</v>
      </c>
      <c r="F14" s="2">
        <v>10000</v>
      </c>
      <c r="G14" s="2">
        <v>2000</v>
      </c>
      <c r="H14" s="1">
        <v>2289.605594915527</v>
      </c>
      <c r="I14" s="2">
        <v>500</v>
      </c>
      <c r="J14" s="10">
        <f t="shared" si="0"/>
        <v>62945.364669442155</v>
      </c>
      <c r="L14" s="60">
        <v>43195</v>
      </c>
    </row>
    <row r="15" spans="1:12" x14ac:dyDescent="0.25">
      <c r="A15" s="6">
        <v>1972</v>
      </c>
      <c r="B15" s="2">
        <v>400</v>
      </c>
      <c r="C15" s="2">
        <v>500</v>
      </c>
      <c r="D15" s="1">
        <v>321.45025712593292</v>
      </c>
      <c r="E15" s="1">
        <v>4263.0737702150627</v>
      </c>
      <c r="F15" s="2">
        <v>3500</v>
      </c>
      <c r="G15" s="1">
        <v>729.85612635938958</v>
      </c>
      <c r="H15" s="1">
        <v>385.56770709664022</v>
      </c>
      <c r="I15" s="2">
        <v>500</v>
      </c>
      <c r="J15" s="10">
        <f t="shared" si="0"/>
        <v>10599.947860797023</v>
      </c>
      <c r="L15" s="60">
        <v>25586</v>
      </c>
    </row>
    <row r="16" spans="1:12" x14ac:dyDescent="0.25">
      <c r="A16" s="6">
        <v>1973</v>
      </c>
      <c r="B16" s="2">
        <v>5000</v>
      </c>
      <c r="C16" s="2">
        <v>500</v>
      </c>
      <c r="D16" s="1">
        <v>818.82178136028358</v>
      </c>
      <c r="E16" s="2">
        <v>7000</v>
      </c>
      <c r="F16" s="2">
        <v>5500</v>
      </c>
      <c r="G16" s="2">
        <v>200</v>
      </c>
      <c r="H16" s="1">
        <v>982.14647435287247</v>
      </c>
      <c r="I16" s="2">
        <v>7000</v>
      </c>
      <c r="J16" s="10">
        <f t="shared" si="0"/>
        <v>27000.968255713156</v>
      </c>
      <c r="L16" s="60">
        <v>15718</v>
      </c>
    </row>
    <row r="17" spans="1:12" x14ac:dyDescent="0.25">
      <c r="A17" s="6">
        <v>1974</v>
      </c>
      <c r="B17" s="2">
        <v>1500</v>
      </c>
      <c r="C17" s="1">
        <v>675.69707728054505</v>
      </c>
      <c r="D17" s="1">
        <v>346.44983173499025</v>
      </c>
      <c r="E17" s="2">
        <v>700</v>
      </c>
      <c r="F17" s="2">
        <v>6000</v>
      </c>
      <c r="G17" s="1">
        <v>786.61791827258264</v>
      </c>
      <c r="H17" s="1">
        <v>415.5537730716614</v>
      </c>
      <c r="I17" s="2">
        <v>1000</v>
      </c>
      <c r="J17" s="10">
        <f t="shared" si="0"/>
        <v>11424.318600359778</v>
      </c>
      <c r="L17" s="60">
        <v>3944</v>
      </c>
    </row>
    <row r="18" spans="1:12" x14ac:dyDescent="0.25">
      <c r="A18" s="6">
        <v>1975</v>
      </c>
      <c r="B18" s="2">
        <v>5000</v>
      </c>
      <c r="C18" s="2">
        <v>6000</v>
      </c>
      <c r="D18" s="1">
        <v>2490.7546128690369</v>
      </c>
      <c r="E18" s="2">
        <v>20000</v>
      </c>
      <c r="F18" s="2">
        <v>30000</v>
      </c>
      <c r="G18" s="1">
        <v>5655.2840533722683</v>
      </c>
      <c r="H18" s="1">
        <v>2987.5681339380417</v>
      </c>
      <c r="I18" s="2">
        <v>10000</v>
      </c>
      <c r="J18" s="10">
        <f t="shared" si="0"/>
        <v>82133.606800179346</v>
      </c>
      <c r="L18" s="60">
        <v>3847</v>
      </c>
    </row>
    <row r="19" spans="1:12" x14ac:dyDescent="0.25">
      <c r="A19" s="6">
        <v>1976</v>
      </c>
      <c r="B19" s="2">
        <v>2000</v>
      </c>
      <c r="C19" s="2">
        <v>2000</v>
      </c>
      <c r="D19" s="1">
        <v>695.34865568304861</v>
      </c>
      <c r="E19" s="2">
        <v>100</v>
      </c>
      <c r="F19" s="2">
        <v>14000</v>
      </c>
      <c r="G19" s="2">
        <v>300</v>
      </c>
      <c r="H19" s="1">
        <v>834.04502189503148</v>
      </c>
      <c r="I19" s="2">
        <v>3000</v>
      </c>
      <c r="J19" s="10">
        <f t="shared" si="0"/>
        <v>22929.393677578078</v>
      </c>
      <c r="L19" s="60">
        <v>0</v>
      </c>
    </row>
    <row r="20" spans="1:12" x14ac:dyDescent="0.25">
      <c r="A20" s="6">
        <v>1977</v>
      </c>
      <c r="B20" s="2">
        <v>12000</v>
      </c>
      <c r="C20" s="2">
        <v>12000</v>
      </c>
      <c r="D20" s="2">
        <v>3500</v>
      </c>
      <c r="E20" s="2">
        <v>100000</v>
      </c>
      <c r="F20" s="2">
        <v>105000</v>
      </c>
      <c r="G20" s="2">
        <v>4000</v>
      </c>
      <c r="H20" s="1">
        <v>10059.718984681191</v>
      </c>
      <c r="I20" s="2">
        <v>30000</v>
      </c>
      <c r="J20" s="10">
        <f t="shared" si="0"/>
        <v>276559.71898468118</v>
      </c>
      <c r="L20" s="60">
        <v>120017</v>
      </c>
    </row>
    <row r="21" spans="1:12" x14ac:dyDescent="0.25">
      <c r="A21" s="6">
        <v>1978</v>
      </c>
      <c r="B21" s="2">
        <v>2500</v>
      </c>
      <c r="C21" s="2">
        <v>6500</v>
      </c>
      <c r="D21" s="2">
        <v>2500</v>
      </c>
      <c r="E21" s="2">
        <v>1000</v>
      </c>
      <c r="F21" s="2">
        <v>47000</v>
      </c>
      <c r="G21" s="2">
        <v>3000</v>
      </c>
      <c r="H21" s="1">
        <v>2925.4342263500266</v>
      </c>
      <c r="I21" s="2">
        <v>15000</v>
      </c>
      <c r="J21" s="10">
        <f t="shared" si="0"/>
        <v>80425.434226350029</v>
      </c>
      <c r="L21" s="60">
        <v>0</v>
      </c>
    </row>
    <row r="22" spans="1:12" x14ac:dyDescent="0.25">
      <c r="A22" s="6">
        <v>1979</v>
      </c>
      <c r="B22" s="2">
        <v>15000</v>
      </c>
      <c r="C22" s="2">
        <v>8500</v>
      </c>
      <c r="D22" s="2">
        <v>10000</v>
      </c>
      <c r="E22" s="2">
        <v>130000</v>
      </c>
      <c r="F22" s="2">
        <v>125000</v>
      </c>
      <c r="G22" s="2">
        <v>20000</v>
      </c>
      <c r="H22" s="2">
        <v>2000</v>
      </c>
      <c r="I22" s="2">
        <v>12000</v>
      </c>
      <c r="J22" s="10">
        <f t="shared" si="0"/>
        <v>322500</v>
      </c>
      <c r="L22" s="60">
        <v>529363</v>
      </c>
    </row>
    <row r="23" spans="1:12" x14ac:dyDescent="0.25">
      <c r="A23" s="6">
        <v>1980</v>
      </c>
      <c r="B23" s="1">
        <v>1940.040486368729</v>
      </c>
      <c r="C23" s="2">
        <v>4345</v>
      </c>
      <c r="D23" s="1">
        <v>1467.2403762567244</v>
      </c>
      <c r="E23" s="1">
        <v>19458.543963244621</v>
      </c>
      <c r="F23" s="2">
        <v>9401</v>
      </c>
      <c r="G23" s="2">
        <v>316</v>
      </c>
      <c r="H23" s="2">
        <v>7505</v>
      </c>
      <c r="I23" s="2">
        <v>3950</v>
      </c>
      <c r="J23" s="10">
        <f t="shared" si="0"/>
        <v>48382.824825870077</v>
      </c>
      <c r="L23" s="60">
        <v>0</v>
      </c>
    </row>
    <row r="24" spans="1:12" x14ac:dyDescent="0.25">
      <c r="A24" s="6">
        <v>1981</v>
      </c>
      <c r="B24" s="2">
        <v>6320</v>
      </c>
      <c r="C24" s="2">
        <v>27650</v>
      </c>
      <c r="D24" s="2">
        <v>11850</v>
      </c>
      <c r="E24" s="2">
        <v>114550</v>
      </c>
      <c r="F24" s="2">
        <v>102700</v>
      </c>
      <c r="G24" s="2">
        <v>24490</v>
      </c>
      <c r="H24" s="2">
        <v>1580</v>
      </c>
      <c r="I24" s="2">
        <v>19750</v>
      </c>
      <c r="J24" s="10">
        <f t="shared" si="0"/>
        <v>308890</v>
      </c>
      <c r="L24" s="60">
        <v>1266167</v>
      </c>
    </row>
    <row r="25" spans="1:12" x14ac:dyDescent="0.25">
      <c r="A25" s="6">
        <v>1982</v>
      </c>
      <c r="B25" s="2">
        <v>16590</v>
      </c>
      <c r="C25" s="2">
        <v>29230</v>
      </c>
      <c r="D25" s="2">
        <v>8690</v>
      </c>
      <c r="E25" s="2">
        <v>790</v>
      </c>
      <c r="F25" s="2">
        <v>39500</v>
      </c>
      <c r="G25" s="2">
        <v>4898</v>
      </c>
      <c r="H25" s="2">
        <v>23700</v>
      </c>
      <c r="I25" s="2">
        <v>18170</v>
      </c>
      <c r="J25" s="10">
        <f t="shared" si="0"/>
        <v>141568</v>
      </c>
      <c r="L25" s="60">
        <v>211941</v>
      </c>
    </row>
    <row r="26" spans="1:12" x14ac:dyDescent="0.25">
      <c r="A26" s="6">
        <v>1983</v>
      </c>
      <c r="B26" s="2">
        <v>7900</v>
      </c>
      <c r="C26" s="2">
        <v>14220</v>
      </c>
      <c r="D26" s="2">
        <v>3950</v>
      </c>
      <c r="E26" s="2">
        <v>60830</v>
      </c>
      <c r="F26" s="2">
        <v>48980</v>
      </c>
      <c r="G26" s="2">
        <v>13430</v>
      </c>
      <c r="H26" s="2">
        <v>4740</v>
      </c>
      <c r="I26" s="2">
        <v>18170</v>
      </c>
      <c r="J26" s="10">
        <f t="shared" si="0"/>
        <v>172220</v>
      </c>
      <c r="L26" s="60">
        <v>581346</v>
      </c>
    </row>
    <row r="27" spans="1:12" x14ac:dyDescent="0.25">
      <c r="A27" s="6">
        <v>1984</v>
      </c>
      <c r="B27" s="2">
        <v>11850</v>
      </c>
      <c r="C27" s="2">
        <v>31600</v>
      </c>
      <c r="D27" s="2">
        <v>8690</v>
      </c>
      <c r="E27" s="2">
        <v>790</v>
      </c>
      <c r="F27" s="2">
        <v>59250</v>
      </c>
      <c r="G27" s="2">
        <v>13430</v>
      </c>
      <c r="H27" s="2">
        <v>7900</v>
      </c>
      <c r="I27" s="2">
        <v>11850</v>
      </c>
      <c r="J27" s="10">
        <f t="shared" si="0"/>
        <v>145360</v>
      </c>
      <c r="L27" s="60">
        <v>484197</v>
      </c>
    </row>
    <row r="28" spans="1:12" x14ac:dyDescent="0.25">
      <c r="A28" s="6">
        <v>1985</v>
      </c>
      <c r="B28" s="2">
        <v>10270</v>
      </c>
      <c r="C28" s="2">
        <v>13430</v>
      </c>
      <c r="D28" s="2">
        <v>9085</v>
      </c>
      <c r="E28" s="2">
        <v>118500</v>
      </c>
      <c r="F28" s="2">
        <v>86900</v>
      </c>
      <c r="G28" s="2">
        <v>75050</v>
      </c>
      <c r="H28" s="2">
        <v>6320</v>
      </c>
      <c r="I28" s="2">
        <v>35550</v>
      </c>
      <c r="J28" s="10">
        <f t="shared" si="0"/>
        <v>355105</v>
      </c>
      <c r="L28" s="60">
        <v>1941267</v>
      </c>
    </row>
    <row r="29" spans="1:12" x14ac:dyDescent="0.25">
      <c r="A29" s="6">
        <v>1986</v>
      </c>
      <c r="B29" s="1">
        <v>1291.5186138434426</v>
      </c>
      <c r="C29" s="2">
        <v>1343</v>
      </c>
      <c r="D29" s="1">
        <v>976.76737689716731</v>
      </c>
      <c r="E29" s="2">
        <v>2923</v>
      </c>
      <c r="F29" s="2">
        <v>18170</v>
      </c>
      <c r="G29" s="2">
        <v>3160</v>
      </c>
      <c r="H29" s="2">
        <v>1185</v>
      </c>
      <c r="I29" s="2">
        <v>3160</v>
      </c>
      <c r="J29" s="10">
        <f t="shared" si="0"/>
        <v>32209.285990740609</v>
      </c>
      <c r="L29" s="60">
        <v>7626</v>
      </c>
    </row>
    <row r="30" spans="1:12" x14ac:dyDescent="0.25">
      <c r="A30" s="6">
        <v>1987</v>
      </c>
      <c r="B30" s="2">
        <v>948</v>
      </c>
      <c r="C30" s="2">
        <v>790</v>
      </c>
      <c r="D30" s="2">
        <v>790</v>
      </c>
      <c r="E30" s="2">
        <v>10270</v>
      </c>
      <c r="F30" s="2">
        <v>7900</v>
      </c>
      <c r="G30" s="2">
        <v>553</v>
      </c>
      <c r="H30" s="2">
        <v>158</v>
      </c>
      <c r="I30" s="2">
        <v>474</v>
      </c>
      <c r="J30" s="10">
        <f t="shared" si="0"/>
        <v>21883</v>
      </c>
      <c r="L30" s="60">
        <v>98772</v>
      </c>
    </row>
    <row r="31" spans="1:12" x14ac:dyDescent="0.25">
      <c r="A31" s="6">
        <v>1988</v>
      </c>
      <c r="B31" s="1">
        <v>854.70047323624624</v>
      </c>
      <c r="C31" s="2">
        <v>79</v>
      </c>
      <c r="D31" s="1">
        <v>646.40457391728182</v>
      </c>
      <c r="E31" s="2">
        <v>3950</v>
      </c>
      <c r="F31" s="2">
        <v>13430</v>
      </c>
      <c r="G31" s="2">
        <v>790</v>
      </c>
      <c r="H31" s="1">
        <v>775.33840410323353</v>
      </c>
      <c r="I31" s="2">
        <v>790</v>
      </c>
      <c r="J31" s="10">
        <f t="shared" si="0"/>
        <v>21315.44345125676</v>
      </c>
      <c r="L31" s="60">
        <v>0</v>
      </c>
    </row>
    <row r="32" spans="1:12" x14ac:dyDescent="0.25">
      <c r="A32" s="6">
        <v>1989</v>
      </c>
      <c r="B32" s="1">
        <v>1110.9104699594952</v>
      </c>
      <c r="C32" s="2">
        <v>395</v>
      </c>
      <c r="D32" s="1">
        <v>840.1745775277393</v>
      </c>
      <c r="E32" s="2">
        <v>11850</v>
      </c>
      <c r="F32" s="2">
        <v>10270</v>
      </c>
      <c r="G32" s="2">
        <v>395</v>
      </c>
      <c r="H32" s="2">
        <v>1027</v>
      </c>
      <c r="I32" s="2">
        <v>1817</v>
      </c>
      <c r="J32" s="10">
        <f t="shared" si="0"/>
        <v>27705.085047487235</v>
      </c>
      <c r="L32" s="60">
        <v>398181</v>
      </c>
    </row>
    <row r="33" spans="1:12" x14ac:dyDescent="0.25">
      <c r="A33" s="6">
        <v>1990</v>
      </c>
      <c r="B33" s="2">
        <v>1185</v>
      </c>
      <c r="C33" s="2">
        <v>790</v>
      </c>
      <c r="D33" s="2">
        <v>948</v>
      </c>
      <c r="E33" s="2">
        <v>10270</v>
      </c>
      <c r="F33" s="2">
        <v>16590</v>
      </c>
      <c r="G33" s="2">
        <v>1185</v>
      </c>
      <c r="H33" s="2">
        <v>1580</v>
      </c>
      <c r="I33" s="2">
        <v>7900</v>
      </c>
      <c r="J33" s="10">
        <f t="shared" si="0"/>
        <v>40448</v>
      </c>
      <c r="L33" s="60">
        <v>0</v>
      </c>
    </row>
    <row r="34" spans="1:12" x14ac:dyDescent="0.25">
      <c r="A34" s="6">
        <v>1991</v>
      </c>
      <c r="B34" s="2">
        <v>4740</v>
      </c>
      <c r="C34" s="2">
        <v>5530</v>
      </c>
      <c r="D34" s="2">
        <v>632</v>
      </c>
      <c r="E34" s="2">
        <v>71100</v>
      </c>
      <c r="F34" s="2">
        <v>33970</v>
      </c>
      <c r="G34" s="2">
        <v>10270</v>
      </c>
      <c r="H34" s="2">
        <v>4740</v>
      </c>
      <c r="I34" s="2">
        <v>7505</v>
      </c>
      <c r="J34" s="10">
        <f t="shared" si="0"/>
        <v>138487</v>
      </c>
      <c r="L34" s="60">
        <v>123854</v>
      </c>
    </row>
    <row r="35" spans="1:12" x14ac:dyDescent="0.25">
      <c r="A35" s="6">
        <v>1992</v>
      </c>
      <c r="B35" s="1">
        <v>1327.2779048198975</v>
      </c>
      <c r="C35" s="2">
        <v>1975</v>
      </c>
      <c r="D35" s="1">
        <v>1003.8119030556555</v>
      </c>
      <c r="E35" s="2">
        <v>18000</v>
      </c>
      <c r="F35" s="2">
        <v>7110</v>
      </c>
      <c r="G35" s="2">
        <v>395</v>
      </c>
      <c r="H35" s="2">
        <v>2500</v>
      </c>
      <c r="I35" s="2">
        <v>790</v>
      </c>
      <c r="J35" s="10">
        <f t="shared" ref="J35:J57" si="1">SUM(B35:I35)</f>
        <v>33101.089807875556</v>
      </c>
      <c r="L35" s="60">
        <v>10535</v>
      </c>
    </row>
    <row r="36" spans="1:12" x14ac:dyDescent="0.25">
      <c r="A36" s="6">
        <v>1993</v>
      </c>
      <c r="B36" s="2">
        <v>5530</v>
      </c>
      <c r="C36" s="2">
        <v>3950</v>
      </c>
      <c r="D36" s="2">
        <v>6320</v>
      </c>
      <c r="E36" s="2">
        <v>120000</v>
      </c>
      <c r="F36" s="2">
        <v>19750</v>
      </c>
      <c r="G36" s="2">
        <v>3160</v>
      </c>
      <c r="H36" s="2">
        <v>3002</v>
      </c>
      <c r="I36" s="2">
        <v>7110</v>
      </c>
      <c r="J36" s="10">
        <f t="shared" si="1"/>
        <v>168822</v>
      </c>
      <c r="L36" s="60">
        <v>871873</v>
      </c>
    </row>
    <row r="37" spans="1:12" x14ac:dyDescent="0.25">
      <c r="A37" s="6">
        <v>1994</v>
      </c>
      <c r="B37" s="2">
        <v>3950</v>
      </c>
      <c r="C37" s="2">
        <v>2000</v>
      </c>
      <c r="D37" s="2">
        <v>5530</v>
      </c>
      <c r="E37" s="2">
        <v>65000</v>
      </c>
      <c r="F37" s="2">
        <v>27650</v>
      </c>
      <c r="G37" s="2">
        <v>7900</v>
      </c>
      <c r="H37" s="2">
        <v>5530</v>
      </c>
      <c r="I37" s="2">
        <v>10270</v>
      </c>
      <c r="J37" s="10">
        <f t="shared" si="1"/>
        <v>127830</v>
      </c>
      <c r="L37" s="60">
        <v>109009</v>
      </c>
    </row>
    <row r="38" spans="1:12" x14ac:dyDescent="0.25">
      <c r="A38" s="6">
        <v>1995</v>
      </c>
      <c r="B38" s="2">
        <v>15000</v>
      </c>
      <c r="C38" s="2">
        <v>32000</v>
      </c>
      <c r="D38" s="1">
        <v>12893.50415603271</v>
      </c>
      <c r="E38" s="2">
        <v>253000</v>
      </c>
      <c r="F38" s="2">
        <v>39000</v>
      </c>
      <c r="G38" s="1">
        <v>29274.834234952235</v>
      </c>
      <c r="H38" s="2">
        <v>21000</v>
      </c>
      <c r="I38" s="2">
        <v>23000</v>
      </c>
      <c r="J38" s="10">
        <f t="shared" si="1"/>
        <v>425168.33839098492</v>
      </c>
      <c r="L38" s="60">
        <v>653590</v>
      </c>
    </row>
    <row r="39" spans="1:12" x14ac:dyDescent="0.25">
      <c r="A39" s="6">
        <v>1996</v>
      </c>
      <c r="B39" s="2">
        <v>13000</v>
      </c>
      <c r="C39" s="2">
        <v>13000</v>
      </c>
      <c r="D39" s="2">
        <v>5000</v>
      </c>
      <c r="E39" s="2">
        <v>120000</v>
      </c>
      <c r="F39" s="2">
        <v>55000</v>
      </c>
      <c r="G39" s="2">
        <v>20000</v>
      </c>
      <c r="H39" s="2">
        <v>7000</v>
      </c>
      <c r="I39" s="2">
        <v>22000</v>
      </c>
      <c r="J39" s="10">
        <f t="shared" si="1"/>
        <v>255000</v>
      </c>
      <c r="L39" s="60">
        <v>240871</v>
      </c>
    </row>
    <row r="40" spans="1:12" x14ac:dyDescent="0.25">
      <c r="A40" s="6">
        <v>1997</v>
      </c>
      <c r="B40" s="2">
        <v>2000</v>
      </c>
      <c r="C40" s="2">
        <v>8000</v>
      </c>
      <c r="D40" s="1">
        <v>8256.3494424734763</v>
      </c>
      <c r="E40" s="2">
        <v>130000</v>
      </c>
      <c r="F40" s="2">
        <v>74000</v>
      </c>
      <c r="G40" s="2">
        <v>15000</v>
      </c>
      <c r="H40" s="2">
        <v>9000</v>
      </c>
      <c r="I40" s="2">
        <v>26000</v>
      </c>
      <c r="J40" s="10">
        <f t="shared" si="1"/>
        <v>272256.3494424735</v>
      </c>
      <c r="L40" s="60">
        <v>378604</v>
      </c>
    </row>
    <row r="41" spans="1:12" x14ac:dyDescent="0.25">
      <c r="A41" s="7">
        <v>1998</v>
      </c>
      <c r="B41" s="3">
        <v>3000</v>
      </c>
      <c r="C41" s="3">
        <v>5500</v>
      </c>
      <c r="D41" s="3">
        <v>6000</v>
      </c>
      <c r="E41" s="3">
        <v>165000</v>
      </c>
      <c r="F41" s="3">
        <v>72000</v>
      </c>
      <c r="G41" s="3">
        <v>34000</v>
      </c>
      <c r="H41" s="3">
        <v>16000</v>
      </c>
      <c r="I41" s="3">
        <v>11500</v>
      </c>
      <c r="J41" s="10">
        <f t="shared" si="1"/>
        <v>313000</v>
      </c>
      <c r="L41" s="60">
        <v>973044</v>
      </c>
    </row>
    <row r="42" spans="1:12" x14ac:dyDescent="0.25">
      <c r="A42" s="8">
        <v>1999</v>
      </c>
      <c r="B42" s="3">
        <v>11000</v>
      </c>
      <c r="C42" s="3">
        <v>61000</v>
      </c>
      <c r="D42" s="3">
        <v>2500</v>
      </c>
      <c r="E42" s="3">
        <v>450000</v>
      </c>
      <c r="F42" s="3">
        <v>655000</v>
      </c>
      <c r="G42" s="3">
        <v>250000</v>
      </c>
      <c r="H42" s="3">
        <v>21000</v>
      </c>
      <c r="I42" s="3">
        <v>30000</v>
      </c>
      <c r="J42" s="10">
        <f t="shared" si="1"/>
        <v>1480500</v>
      </c>
      <c r="L42" s="60">
        <v>1188581</v>
      </c>
    </row>
    <row r="43" spans="1:12" x14ac:dyDescent="0.25">
      <c r="A43" s="8">
        <v>2000</v>
      </c>
      <c r="B43" s="1">
        <v>7774.9553749318402</v>
      </c>
      <c r="C43" s="1">
        <v>13397.478866154963</v>
      </c>
      <c r="D43" s="3">
        <v>3000</v>
      </c>
      <c r="E43" s="3">
        <v>82000</v>
      </c>
      <c r="F43" s="3">
        <v>108000</v>
      </c>
      <c r="G43" s="3">
        <v>19000</v>
      </c>
      <c r="H43" s="3">
        <v>10000</v>
      </c>
      <c r="I43" s="3">
        <v>11500</v>
      </c>
      <c r="J43" s="10">
        <f t="shared" si="1"/>
        <v>254672.4342410868</v>
      </c>
      <c r="L43" s="60">
        <v>661129</v>
      </c>
    </row>
    <row r="44" spans="1:12" x14ac:dyDescent="0.25">
      <c r="A44" s="8">
        <v>2001</v>
      </c>
      <c r="B44" s="3">
        <v>2000</v>
      </c>
      <c r="C44" s="3">
        <v>12200</v>
      </c>
      <c r="D44" s="3">
        <v>4000</v>
      </c>
      <c r="E44" s="3">
        <v>41000</v>
      </c>
      <c r="F44" s="3">
        <v>31000</v>
      </c>
      <c r="G44" s="3">
        <v>39000</v>
      </c>
      <c r="H44" s="3">
        <v>14000</v>
      </c>
      <c r="I44" s="3">
        <v>22000</v>
      </c>
      <c r="J44" s="10">
        <f t="shared" si="1"/>
        <v>165200</v>
      </c>
      <c r="L44" s="60">
        <v>731827</v>
      </c>
    </row>
    <row r="45" spans="1:12" x14ac:dyDescent="0.25">
      <c r="A45" s="9">
        <v>2002</v>
      </c>
      <c r="B45" s="5">
        <v>10000</v>
      </c>
      <c r="C45" s="5">
        <v>52030</v>
      </c>
      <c r="D45" s="1">
        <v>9814.2801972321577</v>
      </c>
      <c r="E45" s="5">
        <v>111320</v>
      </c>
      <c r="F45" s="5">
        <v>114950</v>
      </c>
      <c r="G45" s="5">
        <v>100430</v>
      </c>
      <c r="H45" s="5">
        <v>20000</v>
      </c>
      <c r="I45" s="5">
        <v>20570</v>
      </c>
      <c r="J45" s="10">
        <f t="shared" si="1"/>
        <v>439114.28019723215</v>
      </c>
      <c r="L45" s="60">
        <v>484740</v>
      </c>
    </row>
    <row r="46" spans="1:12" x14ac:dyDescent="0.25">
      <c r="A46" s="9">
        <v>2003</v>
      </c>
      <c r="B46" s="5">
        <v>12000</v>
      </c>
      <c r="C46" s="5">
        <v>29250</v>
      </c>
      <c r="D46" s="5">
        <v>12000</v>
      </c>
      <c r="E46" s="5">
        <v>98280</v>
      </c>
      <c r="F46" s="5">
        <v>104750</v>
      </c>
      <c r="G46" s="5">
        <v>138060</v>
      </c>
      <c r="H46" s="5">
        <v>25000</v>
      </c>
      <c r="I46" s="5">
        <v>29250</v>
      </c>
      <c r="J46" s="10">
        <f t="shared" si="1"/>
        <v>448590</v>
      </c>
      <c r="L46" s="60">
        <v>513528</v>
      </c>
    </row>
    <row r="47" spans="1:12" x14ac:dyDescent="0.25">
      <c r="A47" s="8">
        <v>2004</v>
      </c>
      <c r="B47" s="5">
        <v>16000</v>
      </c>
      <c r="C47" s="5">
        <v>35300</v>
      </c>
      <c r="D47" s="5">
        <v>3000</v>
      </c>
      <c r="E47" s="5">
        <v>57000</v>
      </c>
      <c r="F47" s="5">
        <v>168000</v>
      </c>
      <c r="G47" s="5">
        <v>52000</v>
      </c>
      <c r="H47" s="5">
        <v>14000</v>
      </c>
      <c r="I47" s="5">
        <v>30500</v>
      </c>
      <c r="J47" s="10">
        <f t="shared" si="1"/>
        <v>375800</v>
      </c>
      <c r="L47" s="60">
        <v>319185</v>
      </c>
    </row>
    <row r="48" spans="1:12" ht="13.8" thickBot="1" x14ac:dyDescent="0.3">
      <c r="A48" s="8">
        <v>2005</v>
      </c>
      <c r="B48" s="5">
        <v>25000</v>
      </c>
      <c r="C48" s="5">
        <v>55000</v>
      </c>
      <c r="D48" s="5">
        <v>26000</v>
      </c>
      <c r="E48" s="5">
        <v>67000</v>
      </c>
      <c r="F48" s="5">
        <v>194000</v>
      </c>
      <c r="G48" s="5">
        <v>87000</v>
      </c>
      <c r="H48" s="5">
        <v>36000</v>
      </c>
      <c r="I48" s="5">
        <v>45000</v>
      </c>
      <c r="J48" s="10">
        <f t="shared" si="1"/>
        <v>535000</v>
      </c>
      <c r="L48" s="60">
        <v>1318001</v>
      </c>
    </row>
    <row r="49" spans="1:14" x14ac:dyDescent="0.25">
      <c r="A49" s="9">
        <v>2006</v>
      </c>
      <c r="B49" s="11">
        <v>5000</v>
      </c>
      <c r="C49" s="11">
        <v>53000</v>
      </c>
      <c r="D49" s="11">
        <v>16000</v>
      </c>
      <c r="E49" s="11">
        <v>56000</v>
      </c>
      <c r="F49" s="11">
        <v>71000</v>
      </c>
      <c r="G49" s="11">
        <v>51000</v>
      </c>
      <c r="H49" s="11">
        <v>27000</v>
      </c>
      <c r="I49" s="11">
        <v>25000</v>
      </c>
      <c r="J49" s="10">
        <f t="shared" si="1"/>
        <v>304000</v>
      </c>
      <c r="L49" s="60">
        <v>340324</v>
      </c>
      <c r="M49" s="192" t="s">
        <v>290</v>
      </c>
      <c r="N49" s="193"/>
    </row>
    <row r="50" spans="1:14" ht="13.8" thickBot="1" x14ac:dyDescent="0.3">
      <c r="A50" s="9">
        <v>2007</v>
      </c>
      <c r="B50" s="11">
        <v>8000</v>
      </c>
      <c r="C50" s="11">
        <v>12000</v>
      </c>
      <c r="D50" s="11">
        <v>6000</v>
      </c>
      <c r="E50" s="11">
        <v>71000</v>
      </c>
      <c r="F50" s="11">
        <v>90000</v>
      </c>
      <c r="G50" s="11">
        <v>56000</v>
      </c>
      <c r="H50" s="11">
        <v>6000</v>
      </c>
      <c r="I50" s="11">
        <v>53000</v>
      </c>
      <c r="J50" s="10">
        <f t="shared" si="1"/>
        <v>302000</v>
      </c>
      <c r="L50" s="60">
        <v>1605364</v>
      </c>
      <c r="M50" s="50">
        <v>160000</v>
      </c>
      <c r="N50" s="51">
        <v>360000</v>
      </c>
    </row>
    <row r="51" spans="1:14" ht="13.8" thickBot="1" x14ac:dyDescent="0.3">
      <c r="A51" s="9">
        <v>2008</v>
      </c>
      <c r="B51" s="11">
        <v>6000</v>
      </c>
      <c r="C51" s="11">
        <v>8000</v>
      </c>
      <c r="D51" s="11">
        <v>3500</v>
      </c>
      <c r="E51" s="11">
        <v>22000</v>
      </c>
      <c r="F51" s="11">
        <v>58000</v>
      </c>
      <c r="G51" s="11">
        <v>43000</v>
      </c>
      <c r="H51" s="11">
        <v>7000</v>
      </c>
      <c r="I51" s="11">
        <v>39000</v>
      </c>
      <c r="J51" s="10">
        <f t="shared" si="1"/>
        <v>186500</v>
      </c>
      <c r="L51" s="60">
        <v>46550</v>
      </c>
      <c r="M51" s="175">
        <v>190000</v>
      </c>
      <c r="N51" s="176">
        <v>630000</v>
      </c>
    </row>
    <row r="52" spans="1:14" x14ac:dyDescent="0.25">
      <c r="A52" s="9">
        <v>2009</v>
      </c>
      <c r="B52" s="11">
        <v>11500</v>
      </c>
      <c r="C52" s="11">
        <v>25000</v>
      </c>
      <c r="D52" s="11">
        <v>5500</v>
      </c>
      <c r="E52" s="11">
        <v>29000</v>
      </c>
      <c r="F52" s="11">
        <v>82000</v>
      </c>
      <c r="G52" s="11">
        <v>33000</v>
      </c>
      <c r="H52" s="11">
        <v>17000</v>
      </c>
      <c r="I52" s="11">
        <v>32000</v>
      </c>
      <c r="J52" s="10">
        <f t="shared" si="1"/>
        <v>235000</v>
      </c>
      <c r="L52" s="60">
        <v>233900</v>
      </c>
      <c r="M52" s="10">
        <f t="shared" ref="M52:M62" si="2">L52+J52</f>
        <v>468900</v>
      </c>
    </row>
    <row r="53" spans="1:14" x14ac:dyDescent="0.25">
      <c r="A53" s="9">
        <v>2010</v>
      </c>
      <c r="B53" s="11">
        <v>6000</v>
      </c>
      <c r="C53" s="11">
        <v>20000</v>
      </c>
      <c r="D53" s="11">
        <v>12000</v>
      </c>
      <c r="E53" s="11">
        <v>18000</v>
      </c>
      <c r="F53" s="11">
        <v>51000</v>
      </c>
      <c r="G53" s="11">
        <v>15000</v>
      </c>
      <c r="H53" s="11">
        <v>16000</v>
      </c>
      <c r="I53" s="11">
        <v>35000</v>
      </c>
      <c r="J53" s="10">
        <f t="shared" si="1"/>
        <v>173000</v>
      </c>
      <c r="L53" s="60">
        <v>14605</v>
      </c>
      <c r="M53" s="10">
        <f t="shared" si="2"/>
        <v>187605</v>
      </c>
    </row>
    <row r="54" spans="1:14" x14ac:dyDescent="0.25">
      <c r="A54" s="9">
        <v>2011</v>
      </c>
      <c r="B54" s="11">
        <v>15000</v>
      </c>
      <c r="C54" s="11">
        <v>44000</v>
      </c>
      <c r="D54" s="11">
        <v>17000</v>
      </c>
      <c r="E54" s="11">
        <v>38000</v>
      </c>
      <c r="F54" s="11">
        <v>115000</v>
      </c>
      <c r="G54" s="11">
        <v>57000</v>
      </c>
      <c r="H54" s="11">
        <v>25000</v>
      </c>
      <c r="I54" s="11">
        <v>29000</v>
      </c>
      <c r="J54" s="10">
        <f t="shared" si="1"/>
        <v>340000</v>
      </c>
      <c r="L54" s="60">
        <v>1555952</v>
      </c>
      <c r="M54" s="10">
        <f t="shared" si="2"/>
        <v>1895952</v>
      </c>
    </row>
    <row r="55" spans="1:14" x14ac:dyDescent="0.25">
      <c r="A55" s="9">
        <v>2012</v>
      </c>
      <c r="B55" s="90">
        <v>7000</v>
      </c>
      <c r="C55" s="90">
        <v>56000</v>
      </c>
      <c r="D55" s="90">
        <v>10000</v>
      </c>
      <c r="E55" s="90">
        <v>23000</v>
      </c>
      <c r="F55" s="90">
        <v>120000</v>
      </c>
      <c r="G55" s="90">
        <v>72000</v>
      </c>
      <c r="H55" s="90">
        <v>15000</v>
      </c>
      <c r="I55" s="90">
        <v>32500</v>
      </c>
      <c r="J55" s="92">
        <f t="shared" si="1"/>
        <v>335500</v>
      </c>
      <c r="L55" s="60">
        <v>157894</v>
      </c>
      <c r="M55" s="10">
        <f t="shared" si="2"/>
        <v>493394</v>
      </c>
    </row>
    <row r="56" spans="1:14" x14ac:dyDescent="0.25">
      <c r="A56" s="9">
        <v>2013</v>
      </c>
      <c r="B56" s="90">
        <v>32000</v>
      </c>
      <c r="C56" s="90">
        <v>49000</v>
      </c>
      <c r="D56" s="90">
        <v>7000</v>
      </c>
      <c r="E56" s="90">
        <v>70000</v>
      </c>
      <c r="F56" s="90">
        <v>205000</v>
      </c>
      <c r="G56" s="90">
        <v>63000</v>
      </c>
      <c r="H56" s="90">
        <v>22000</v>
      </c>
      <c r="I56" s="90">
        <v>53000</v>
      </c>
      <c r="J56" s="92">
        <f t="shared" si="1"/>
        <v>501000</v>
      </c>
      <c r="L56" s="60">
        <v>2885128</v>
      </c>
      <c r="M56" s="10">
        <f t="shared" si="2"/>
        <v>3386128</v>
      </c>
    </row>
    <row r="57" spans="1:14" x14ac:dyDescent="0.25">
      <c r="A57" s="9">
        <v>2014</v>
      </c>
      <c r="B57" s="90">
        <v>6000</v>
      </c>
      <c r="C57" s="90">
        <v>30000</v>
      </c>
      <c r="D57" s="90">
        <v>6000</v>
      </c>
      <c r="E57" s="90">
        <v>17000</v>
      </c>
      <c r="F57" s="90">
        <v>85000</v>
      </c>
      <c r="G57" s="90">
        <v>30000</v>
      </c>
      <c r="H57" s="90">
        <v>15000</v>
      </c>
      <c r="I57" s="90">
        <v>20000</v>
      </c>
      <c r="J57" s="92">
        <f t="shared" si="1"/>
        <v>209000</v>
      </c>
      <c r="L57" s="60">
        <v>292172</v>
      </c>
      <c r="M57" s="10">
        <f t="shared" si="2"/>
        <v>501172</v>
      </c>
    </row>
    <row r="58" spans="1:14" x14ac:dyDescent="0.25">
      <c r="A58" s="9">
        <v>2015</v>
      </c>
      <c r="B58" s="90">
        <v>11000</v>
      </c>
      <c r="C58" s="90">
        <v>20000</v>
      </c>
      <c r="D58" s="90">
        <v>21000</v>
      </c>
      <c r="E58" s="90">
        <v>136000</v>
      </c>
      <c r="F58" s="90">
        <v>94000</v>
      </c>
      <c r="G58" s="90">
        <v>22000</v>
      </c>
      <c r="H58" s="90">
        <v>16000</v>
      </c>
      <c r="I58" s="90">
        <v>41000</v>
      </c>
      <c r="J58" s="92">
        <v>361000</v>
      </c>
      <c r="L58" s="60">
        <v>706671</v>
      </c>
      <c r="M58" s="10">
        <f t="shared" si="2"/>
        <v>1067671</v>
      </c>
    </row>
    <row r="59" spans="1:14" x14ac:dyDescent="0.25">
      <c r="A59" s="9">
        <v>2016</v>
      </c>
      <c r="B59" s="90">
        <v>5000</v>
      </c>
      <c r="C59" s="90">
        <v>10000</v>
      </c>
      <c r="D59" s="90">
        <v>20000</v>
      </c>
      <c r="E59" s="90">
        <v>30000</v>
      </c>
      <c r="F59" s="90">
        <v>50000</v>
      </c>
      <c r="G59" s="90">
        <v>20000</v>
      </c>
      <c r="H59" s="90">
        <v>25000</v>
      </c>
      <c r="I59" s="90">
        <v>55000</v>
      </c>
      <c r="J59" s="92">
        <f t="shared" ref="J59:J67" si="3">SUM(B59:I59)</f>
        <v>215000</v>
      </c>
      <c r="K59" s="65"/>
      <c r="L59" s="61">
        <v>5000</v>
      </c>
      <c r="M59" s="10">
        <f t="shared" si="2"/>
        <v>220000</v>
      </c>
    </row>
    <row r="60" spans="1:14" x14ac:dyDescent="0.25">
      <c r="A60" s="9">
        <v>2017</v>
      </c>
      <c r="B60" s="90">
        <v>2000</v>
      </c>
      <c r="C60" s="90">
        <v>30000</v>
      </c>
      <c r="D60" s="90">
        <v>30000</v>
      </c>
      <c r="E60" s="90">
        <v>222000</v>
      </c>
      <c r="F60" s="90">
        <v>100000</v>
      </c>
      <c r="G60" s="90">
        <v>20000</v>
      </c>
      <c r="H60" s="90">
        <v>15000</v>
      </c>
      <c r="I60" s="90">
        <v>40000</v>
      </c>
      <c r="J60" s="92">
        <f t="shared" si="3"/>
        <v>459000</v>
      </c>
      <c r="L60" s="148">
        <v>1449956</v>
      </c>
      <c r="M60" s="10">
        <f t="shared" si="2"/>
        <v>1908956</v>
      </c>
    </row>
    <row r="61" spans="1:14" x14ac:dyDescent="0.25">
      <c r="A61" s="9">
        <v>2018</v>
      </c>
      <c r="B61" s="90">
        <v>2000</v>
      </c>
      <c r="C61" s="90">
        <v>11400</v>
      </c>
      <c r="D61" s="90">
        <v>75000</v>
      </c>
      <c r="E61" s="90">
        <v>54200</v>
      </c>
      <c r="F61" s="90">
        <v>62000</v>
      </c>
      <c r="G61" s="90">
        <v>34000</v>
      </c>
      <c r="H61" s="90">
        <v>26000</v>
      </c>
      <c r="I61" s="90">
        <v>34000</v>
      </c>
      <c r="J61" s="92">
        <f t="shared" si="3"/>
        <v>298600</v>
      </c>
      <c r="L61" s="148">
        <v>325111</v>
      </c>
      <c r="M61" s="10">
        <f t="shared" si="2"/>
        <v>623711</v>
      </c>
    </row>
    <row r="62" spans="1:14" x14ac:dyDescent="0.25">
      <c r="A62" s="9">
        <v>2019</v>
      </c>
      <c r="B62" s="90">
        <v>25000</v>
      </c>
      <c r="C62" s="90">
        <v>9000</v>
      </c>
      <c r="D62" s="90">
        <v>17000</v>
      </c>
      <c r="E62" s="90">
        <v>86600</v>
      </c>
      <c r="F62" s="90">
        <v>40000</v>
      </c>
      <c r="G62" s="90">
        <v>10000</v>
      </c>
      <c r="H62" s="90">
        <v>25000</v>
      </c>
      <c r="I62" s="90">
        <v>45000</v>
      </c>
      <c r="J62" s="92">
        <f t="shared" si="3"/>
        <v>257600</v>
      </c>
      <c r="L62" s="148">
        <v>92600</v>
      </c>
      <c r="M62" s="10">
        <f t="shared" si="2"/>
        <v>350200</v>
      </c>
    </row>
    <row r="63" spans="1:14" x14ac:dyDescent="0.25">
      <c r="A63" s="9">
        <v>2020</v>
      </c>
      <c r="B63" s="90">
        <v>3000</v>
      </c>
      <c r="C63" s="90">
        <v>32000</v>
      </c>
      <c r="D63" s="90">
        <v>33000</v>
      </c>
      <c r="E63" s="90">
        <v>28000</v>
      </c>
      <c r="F63" s="90">
        <v>115000</v>
      </c>
      <c r="G63" s="90">
        <v>77000</v>
      </c>
      <c r="H63" s="90">
        <v>50000</v>
      </c>
      <c r="I63" s="90">
        <v>70000</v>
      </c>
      <c r="J63" s="92">
        <f t="shared" si="3"/>
        <v>408000</v>
      </c>
      <c r="L63" s="148">
        <v>111413</v>
      </c>
      <c r="M63" s="10">
        <f>L63+J63</f>
        <v>519413</v>
      </c>
    </row>
    <row r="64" spans="1:14" x14ac:dyDescent="0.25">
      <c r="A64" s="9">
        <v>2021</v>
      </c>
      <c r="B64" s="90">
        <v>18000</v>
      </c>
      <c r="C64" s="90">
        <v>24000</v>
      </c>
      <c r="D64" s="90">
        <v>35000</v>
      </c>
      <c r="E64" s="90">
        <v>54000</v>
      </c>
      <c r="F64" s="90">
        <v>27000</v>
      </c>
      <c r="G64" s="90">
        <v>23000</v>
      </c>
      <c r="H64" s="90">
        <v>34000</v>
      </c>
      <c r="I64" s="90">
        <v>68000</v>
      </c>
      <c r="J64" s="92">
        <f t="shared" si="3"/>
        <v>283000</v>
      </c>
      <c r="L64" s="92">
        <v>378863</v>
      </c>
      <c r="M64" s="10">
        <f>L64+J64</f>
        <v>661863</v>
      </c>
    </row>
    <row r="65" spans="1:13" x14ac:dyDescent="0.25">
      <c r="A65" s="9">
        <v>2022</v>
      </c>
      <c r="B65" s="90">
        <v>5000</v>
      </c>
      <c r="C65" s="90">
        <v>28000</v>
      </c>
      <c r="D65" s="90">
        <v>21000</v>
      </c>
      <c r="E65" s="90">
        <v>20000</v>
      </c>
      <c r="F65" s="90">
        <v>36000</v>
      </c>
      <c r="G65" s="90">
        <v>21000</v>
      </c>
      <c r="H65" s="90">
        <v>22000</v>
      </c>
      <c r="I65" s="90">
        <v>35000</v>
      </c>
      <c r="J65" s="92">
        <f t="shared" si="3"/>
        <v>188000</v>
      </c>
      <c r="L65" s="92">
        <v>126329</v>
      </c>
      <c r="M65" s="10">
        <f>L65+J65</f>
        <v>314329</v>
      </c>
    </row>
    <row r="66" spans="1:13" x14ac:dyDescent="0.25">
      <c r="A66" s="9">
        <v>2023</v>
      </c>
      <c r="B66" s="90">
        <v>18000</v>
      </c>
      <c r="C66" s="90">
        <v>35000</v>
      </c>
      <c r="D66" s="90">
        <v>31000</v>
      </c>
      <c r="E66" s="90">
        <v>65000</v>
      </c>
      <c r="F66" s="90">
        <v>50000</v>
      </c>
      <c r="G66" s="90">
        <v>31000</v>
      </c>
      <c r="H66" s="90">
        <v>21000</v>
      </c>
      <c r="I66" s="90">
        <v>40000</v>
      </c>
      <c r="J66" s="92">
        <f t="shared" si="3"/>
        <v>291000</v>
      </c>
      <c r="K66"/>
      <c r="L66" s="92">
        <v>327578</v>
      </c>
      <c r="M66" s="10">
        <f>L66+J66</f>
        <v>618578</v>
      </c>
    </row>
    <row r="67" spans="1:13" x14ac:dyDescent="0.25">
      <c r="A67" s="9">
        <v>2024</v>
      </c>
      <c r="B67" s="191">
        <v>11000</v>
      </c>
      <c r="C67" s="191">
        <v>38000</v>
      </c>
      <c r="D67" s="191">
        <v>27000</v>
      </c>
      <c r="E67" s="191">
        <v>26000</v>
      </c>
      <c r="F67" s="191">
        <v>53000</v>
      </c>
      <c r="G67" s="191">
        <v>31000</v>
      </c>
      <c r="H67" s="191">
        <v>17000</v>
      </c>
      <c r="I67" s="191">
        <v>48000</v>
      </c>
      <c r="J67" s="92">
        <f t="shared" si="3"/>
        <v>251000</v>
      </c>
      <c r="K67"/>
      <c r="L67" s="92"/>
      <c r="M67" s="10"/>
    </row>
    <row r="68" spans="1:13" ht="13.8" x14ac:dyDescent="0.25">
      <c r="A68" s="66" t="s">
        <v>108</v>
      </c>
      <c r="B68" s="128">
        <f>AVERAGE(B3:B67)</f>
        <v>6985.5347793613291</v>
      </c>
      <c r="C68" s="128">
        <f t="shared" ref="C68:I68" si="4">AVERAGE(C3:C67)</f>
        <v>16153.706912646934</v>
      </c>
      <c r="D68" s="128">
        <f t="shared" si="4"/>
        <v>9053.5038564195929</v>
      </c>
      <c r="E68" s="128">
        <f t="shared" si="4"/>
        <v>59236.402000244321</v>
      </c>
      <c r="F68" s="128">
        <f t="shared" si="4"/>
        <v>64115.707692307689</v>
      </c>
      <c r="G68" s="128">
        <f t="shared" si="4"/>
        <v>26488.569118775857</v>
      </c>
      <c r="H68" s="128">
        <f t="shared" si="4"/>
        <v>10952.720165366773</v>
      </c>
      <c r="I68" s="128">
        <f t="shared" si="4"/>
        <v>20387.588306781305</v>
      </c>
      <c r="J68" s="128">
        <f>AVERAGE(J3:J66)</f>
        <v>212785.8224074023</v>
      </c>
      <c r="K68" s="71"/>
      <c r="L68" s="128">
        <f>AVERAGE(L3:L66)</f>
        <v>418797.953125</v>
      </c>
    </row>
    <row r="69" spans="1:13" ht="13.8" x14ac:dyDescent="0.25">
      <c r="A69" s="22" t="s">
        <v>363</v>
      </c>
      <c r="B69" s="92">
        <f>AVERAGE(B57:B66)</f>
        <v>9500</v>
      </c>
      <c r="C69" s="92">
        <f t="shared" ref="C69:M69" si="5">AVERAGE(C57:C66)</f>
        <v>22940</v>
      </c>
      <c r="D69" s="92">
        <f t="shared" si="5"/>
        <v>28900</v>
      </c>
      <c r="E69" s="92">
        <f t="shared" si="5"/>
        <v>71280</v>
      </c>
      <c r="F69" s="92">
        <f t="shared" si="5"/>
        <v>65900</v>
      </c>
      <c r="G69" s="92">
        <f t="shared" si="5"/>
        <v>28800</v>
      </c>
      <c r="H69" s="92">
        <f t="shared" si="5"/>
        <v>24900</v>
      </c>
      <c r="I69" s="92">
        <f t="shared" si="5"/>
        <v>44800</v>
      </c>
      <c r="J69" s="92">
        <f t="shared" si="5"/>
        <v>297020</v>
      </c>
      <c r="K69" s="92" t="e">
        <f t="shared" si="5"/>
        <v>#DIV/0!</v>
      </c>
      <c r="L69" s="92">
        <f>AVERAGE(L57:L66)</f>
        <v>381569.3</v>
      </c>
      <c r="M69" s="92">
        <f t="shared" si="5"/>
        <v>678589.3</v>
      </c>
    </row>
    <row r="70" spans="1:13" ht="13.8" x14ac:dyDescent="0.25">
      <c r="A70" s="22" t="s">
        <v>361</v>
      </c>
      <c r="B70" s="96">
        <f>RANK(B67,B3:B67)</f>
        <v>16</v>
      </c>
      <c r="C70" s="96">
        <f t="shared" ref="C70:K70" si="6">RANK(C67,C3:C67)</f>
        <v>8</v>
      </c>
      <c r="D70" s="96">
        <f t="shared" si="6"/>
        <v>6</v>
      </c>
      <c r="E70" s="96">
        <f t="shared" si="6"/>
        <v>38</v>
      </c>
      <c r="F70" s="96">
        <f t="shared" si="6"/>
        <v>28</v>
      </c>
      <c r="G70" s="96">
        <f t="shared" si="6"/>
        <v>18</v>
      </c>
      <c r="H70" s="96">
        <f t="shared" si="6"/>
        <v>17</v>
      </c>
      <c r="I70" s="96">
        <f t="shared" si="6"/>
        <v>6</v>
      </c>
      <c r="J70" s="96">
        <f t="shared" si="6"/>
        <v>28</v>
      </c>
      <c r="K70" s="96" t="e">
        <f t="shared" si="6"/>
        <v>#N/A</v>
      </c>
      <c r="L70" s="96">
        <f>RANK(L67,L3:L67)</f>
        <v>60</v>
      </c>
    </row>
    <row r="71" spans="1:13" ht="13.8" x14ac:dyDescent="0.25">
      <c r="A71" s="23" t="s">
        <v>362</v>
      </c>
      <c r="B71" s="129">
        <f>B67/B69</f>
        <v>1.1578947368421053</v>
      </c>
      <c r="C71" s="129">
        <f t="shared" ref="C71:L71" si="7">C67/C69</f>
        <v>1.6564952048823016</v>
      </c>
      <c r="D71" s="129">
        <f t="shared" si="7"/>
        <v>0.93425605536332179</v>
      </c>
      <c r="E71" s="129">
        <f t="shared" si="7"/>
        <v>0.36475869809203143</v>
      </c>
      <c r="F71" s="129">
        <f t="shared" si="7"/>
        <v>0.80424886191198786</v>
      </c>
      <c r="G71" s="129">
        <f t="shared" si="7"/>
        <v>1.0763888888888888</v>
      </c>
      <c r="H71" s="129">
        <f t="shared" si="7"/>
        <v>0.68273092369477917</v>
      </c>
      <c r="I71" s="129">
        <f t="shared" si="7"/>
        <v>1.0714285714285714</v>
      </c>
      <c r="J71" s="129">
        <f t="shared" si="7"/>
        <v>0.84506093865732945</v>
      </c>
      <c r="K71" s="129" t="e">
        <f t="shared" si="7"/>
        <v>#DIV/0!</v>
      </c>
      <c r="L71" s="129">
        <f t="shared" si="7"/>
        <v>0</v>
      </c>
    </row>
    <row r="74" spans="1:13" ht="13.8" x14ac:dyDescent="0.25">
      <c r="A74" s="158" t="s">
        <v>344</v>
      </c>
    </row>
    <row r="75" spans="1:13" ht="13.8" x14ac:dyDescent="0.25">
      <c r="A75" s="159" t="s">
        <v>345</v>
      </c>
    </row>
    <row r="76" spans="1:13" ht="13.8" x14ac:dyDescent="0.25">
      <c r="A76" s="160" t="s">
        <v>346</v>
      </c>
    </row>
    <row r="77" spans="1:13" x14ac:dyDescent="0.25">
      <c r="A77" s="179" t="s">
        <v>355</v>
      </c>
    </row>
  </sheetData>
  <mergeCells count="1">
    <mergeCell ref="M49:N49"/>
  </mergeCells>
  <phoneticPr fontId="10" type="noConversion"/>
  <pageMargins left="0.75" right="0.75" top="1" bottom="0.63" header="0.5" footer="0.5"/>
  <pageSetup scale="55" orientation="landscape" r:id="rId1"/>
  <headerFooter alignWithMargins="0">
    <oddFooter>&amp;A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rgb="FF92D050"/>
    <pageSetUpPr fitToPage="1"/>
  </sheetPr>
  <dimension ref="A1:N78"/>
  <sheetViews>
    <sheetView zoomScale="90" zoomScaleNormal="90" workbookViewId="0">
      <pane xSplit="1" ySplit="2" topLeftCell="F48" activePane="bottomRight" state="frozen"/>
      <selection pane="topRight" activeCell="B1" sqref="B1"/>
      <selection pane="bottomLeft" activeCell="A3" sqref="A3"/>
      <selection pane="bottomRight" activeCell="I67" sqref="I67"/>
    </sheetView>
  </sheetViews>
  <sheetFormatPr defaultRowHeight="13.2" x14ac:dyDescent="0.25"/>
  <cols>
    <col min="1" max="1" width="22.5546875" customWidth="1"/>
    <col min="2" max="2" width="10" bestFit="1" customWidth="1"/>
    <col min="3" max="3" width="16.6640625" bestFit="1" customWidth="1"/>
    <col min="4" max="4" width="12.109375" bestFit="1" customWidth="1"/>
    <col min="5" max="5" width="15.44140625" bestFit="1" customWidth="1"/>
    <col min="6" max="6" width="10" bestFit="1" customWidth="1"/>
    <col min="7" max="7" width="13.33203125" bestFit="1" customWidth="1"/>
    <col min="8" max="8" width="11.44140625" bestFit="1" customWidth="1"/>
    <col min="9" max="9" width="11.109375" bestFit="1" customWidth="1"/>
    <col min="10" max="10" width="2.88671875" style="28" customWidth="1"/>
    <col min="11" max="11" width="13.109375" bestFit="1" customWidth="1"/>
    <col min="12" max="12" width="12.44140625" customWidth="1"/>
    <col min="13" max="14" width="11.44140625" bestFit="1" customWidth="1"/>
  </cols>
  <sheetData>
    <row r="1" spans="1:12" s="14" customFormat="1" x14ac:dyDescent="0.25">
      <c r="B1" s="38" t="s">
        <v>91</v>
      </c>
      <c r="C1" s="38" t="s">
        <v>92</v>
      </c>
      <c r="D1" s="38" t="s">
        <v>93</v>
      </c>
      <c r="E1" s="38" t="s">
        <v>94</v>
      </c>
      <c r="F1" s="38" t="s">
        <v>95</v>
      </c>
      <c r="G1" s="38" t="s">
        <v>96</v>
      </c>
      <c r="H1" s="38" t="s">
        <v>97</v>
      </c>
      <c r="J1" s="29"/>
    </row>
    <row r="2" spans="1:12" s="14" customFormat="1" x14ac:dyDescent="0.25">
      <c r="B2" s="15" t="s">
        <v>130</v>
      </c>
      <c r="C2" s="14" t="s">
        <v>131</v>
      </c>
      <c r="D2" s="14" t="s">
        <v>132</v>
      </c>
      <c r="E2" s="14" t="s">
        <v>98</v>
      </c>
      <c r="F2" s="14" t="s">
        <v>133</v>
      </c>
      <c r="G2" s="14" t="s">
        <v>134</v>
      </c>
      <c r="H2" s="14" t="s">
        <v>99</v>
      </c>
      <c r="I2" s="14" t="s">
        <v>4</v>
      </c>
      <c r="J2" s="29"/>
      <c r="K2" s="26" t="s">
        <v>140</v>
      </c>
      <c r="L2" s="26"/>
    </row>
    <row r="3" spans="1:12" x14ac:dyDescent="0.25">
      <c r="A3" s="6">
        <v>1960</v>
      </c>
      <c r="B3" s="2">
        <v>1000</v>
      </c>
      <c r="C3" s="2">
        <v>1150</v>
      </c>
      <c r="D3" s="1">
        <v>553.6763220793614</v>
      </c>
      <c r="E3" s="2">
        <v>400</v>
      </c>
      <c r="F3" s="2">
        <v>300</v>
      </c>
      <c r="G3" s="2">
        <v>300</v>
      </c>
      <c r="H3" s="1">
        <v>234.88446900138575</v>
      </c>
      <c r="I3" s="10">
        <f t="shared" ref="I3:I34" si="0">SUM(B3:H3)</f>
        <v>3938.5607910807471</v>
      </c>
      <c r="K3" s="60">
        <v>4306</v>
      </c>
      <c r="L3" s="61">
        <f t="shared" ref="L3:L59" si="1">K3+I3</f>
        <v>8244.5607910807466</v>
      </c>
    </row>
    <row r="4" spans="1:12" x14ac:dyDescent="0.25">
      <c r="A4" s="6">
        <v>1961</v>
      </c>
      <c r="B4" s="2">
        <v>4500</v>
      </c>
      <c r="C4" s="2">
        <v>5000</v>
      </c>
      <c r="D4" s="2">
        <v>1000</v>
      </c>
      <c r="E4" s="1">
        <v>1757.5327477018523</v>
      </c>
      <c r="F4" s="2">
        <v>7000</v>
      </c>
      <c r="G4" s="2">
        <v>6000</v>
      </c>
      <c r="H4" s="1">
        <v>1601.8144280794399</v>
      </c>
      <c r="I4" s="10">
        <f t="shared" si="0"/>
        <v>26859.347175781291</v>
      </c>
      <c r="K4" s="60">
        <v>315901</v>
      </c>
      <c r="L4" s="61">
        <f t="shared" si="1"/>
        <v>342760.34717578127</v>
      </c>
    </row>
    <row r="5" spans="1:12" x14ac:dyDescent="0.25">
      <c r="A5" s="6">
        <v>1962</v>
      </c>
      <c r="B5" s="2">
        <v>13200</v>
      </c>
      <c r="C5" s="1">
        <v>14363.679659394933</v>
      </c>
      <c r="D5" s="2">
        <v>2800</v>
      </c>
      <c r="E5" s="2">
        <v>800</v>
      </c>
      <c r="F5" s="2">
        <v>20000</v>
      </c>
      <c r="G5" s="2">
        <v>6000</v>
      </c>
      <c r="H5" s="1">
        <v>3625.2791505806936</v>
      </c>
      <c r="I5" s="10">
        <f t="shared" si="0"/>
        <v>60788.958809975629</v>
      </c>
      <c r="K5" s="60">
        <v>14032</v>
      </c>
      <c r="L5" s="61">
        <f t="shared" si="1"/>
        <v>74820.958809975622</v>
      </c>
    </row>
    <row r="6" spans="1:12" x14ac:dyDescent="0.25">
      <c r="A6" s="6">
        <v>1963</v>
      </c>
      <c r="B6" s="2">
        <v>20000</v>
      </c>
      <c r="C6" s="2">
        <v>40000</v>
      </c>
      <c r="D6" s="2">
        <v>10000</v>
      </c>
      <c r="E6" s="2">
        <v>6000</v>
      </c>
      <c r="F6" s="2">
        <v>11000</v>
      </c>
      <c r="G6" s="2">
        <v>8000</v>
      </c>
      <c r="H6" s="1">
        <v>6024.8311758588352</v>
      </c>
      <c r="I6" s="10">
        <f t="shared" si="0"/>
        <v>101024.83117585884</v>
      </c>
      <c r="K6" s="60">
        <v>399848</v>
      </c>
      <c r="L6" s="61">
        <f t="shared" si="1"/>
        <v>500872.83117585885</v>
      </c>
    </row>
    <row r="7" spans="1:12" x14ac:dyDescent="0.25">
      <c r="A7" s="6">
        <v>1964</v>
      </c>
      <c r="B7" s="2">
        <v>9000</v>
      </c>
      <c r="C7" s="2">
        <v>10000</v>
      </c>
      <c r="D7" s="2">
        <v>1000</v>
      </c>
      <c r="E7" s="2">
        <v>3500</v>
      </c>
      <c r="F7" s="2">
        <v>10000</v>
      </c>
      <c r="G7" s="2">
        <v>6000</v>
      </c>
      <c r="H7" s="1">
        <v>2505.0613837463079</v>
      </c>
      <c r="I7" s="10">
        <f t="shared" si="0"/>
        <v>42005.06138374631</v>
      </c>
      <c r="K7" s="60">
        <v>13606</v>
      </c>
      <c r="L7" s="61">
        <f t="shared" si="1"/>
        <v>55611.06138374631</v>
      </c>
    </row>
    <row r="8" spans="1:12" x14ac:dyDescent="0.25">
      <c r="A8" s="6">
        <v>1965</v>
      </c>
      <c r="B8" s="2">
        <v>22000</v>
      </c>
      <c r="C8" s="2">
        <v>10000</v>
      </c>
      <c r="D8" s="1">
        <v>9380.186331534318</v>
      </c>
      <c r="E8" s="1">
        <v>4366.174012665012</v>
      </c>
      <c r="F8" s="2">
        <v>15000</v>
      </c>
      <c r="G8" s="2">
        <v>2000</v>
      </c>
      <c r="H8" s="1">
        <v>3979.3287126532014</v>
      </c>
      <c r="I8" s="10">
        <f t="shared" si="0"/>
        <v>66725.689056852541</v>
      </c>
      <c r="K8" s="60">
        <v>29083</v>
      </c>
      <c r="L8" s="61">
        <f t="shared" si="1"/>
        <v>95808.689056852541</v>
      </c>
    </row>
    <row r="9" spans="1:12" x14ac:dyDescent="0.25">
      <c r="A9" s="6">
        <v>1966</v>
      </c>
      <c r="B9" s="1">
        <v>1373.2552090515617</v>
      </c>
      <c r="C9" s="2">
        <v>3000</v>
      </c>
      <c r="D9" s="1">
        <v>1470.3411500123102</v>
      </c>
      <c r="E9" s="1">
        <v>684.3963670062567</v>
      </c>
      <c r="F9" s="1">
        <v>2807.4796311780815</v>
      </c>
      <c r="G9" s="2">
        <v>500</v>
      </c>
      <c r="H9" s="1">
        <v>623.75844906676957</v>
      </c>
      <c r="I9" s="10">
        <f t="shared" si="0"/>
        <v>10459.230806314979</v>
      </c>
      <c r="K9" s="60">
        <v>1545</v>
      </c>
      <c r="L9" s="61">
        <f t="shared" si="1"/>
        <v>12004.230806314979</v>
      </c>
    </row>
    <row r="10" spans="1:12" x14ac:dyDescent="0.25">
      <c r="A10" s="6">
        <v>1967</v>
      </c>
      <c r="B10" s="1">
        <v>5900.6046096843211</v>
      </c>
      <c r="C10" s="2">
        <v>15000</v>
      </c>
      <c r="D10" s="2">
        <v>1000</v>
      </c>
      <c r="E10" s="1">
        <v>2940.7148456946384</v>
      </c>
      <c r="F10" s="2">
        <v>13000</v>
      </c>
      <c r="G10" s="1">
        <v>4419.7431344922115</v>
      </c>
      <c r="H10" s="1">
        <v>2680.1659756256217</v>
      </c>
      <c r="I10" s="10">
        <f t="shared" si="0"/>
        <v>44941.228565496793</v>
      </c>
      <c r="K10" s="60">
        <v>25516</v>
      </c>
      <c r="L10" s="61">
        <f t="shared" si="1"/>
        <v>70457.2285654968</v>
      </c>
    </row>
    <row r="11" spans="1:12" x14ac:dyDescent="0.25">
      <c r="A11" s="6">
        <v>1968</v>
      </c>
      <c r="B11" s="2">
        <v>500</v>
      </c>
      <c r="C11" s="2">
        <v>500</v>
      </c>
      <c r="D11" s="1">
        <v>478.58093580487929</v>
      </c>
      <c r="E11" s="1">
        <v>222.76398045713634</v>
      </c>
      <c r="F11" s="2">
        <v>1000</v>
      </c>
      <c r="G11" s="2">
        <v>500</v>
      </c>
      <c r="H11" s="1">
        <v>203.02697546412963</v>
      </c>
      <c r="I11" s="10">
        <f t="shared" si="0"/>
        <v>3404.3718917261449</v>
      </c>
      <c r="K11" s="60">
        <v>177</v>
      </c>
      <c r="L11" s="61">
        <f t="shared" si="1"/>
        <v>3581.3718917261449</v>
      </c>
    </row>
    <row r="12" spans="1:12" x14ac:dyDescent="0.25">
      <c r="A12" s="6">
        <v>1969</v>
      </c>
      <c r="B12" s="2">
        <v>2000</v>
      </c>
      <c r="C12" s="1">
        <v>14778.423635646506</v>
      </c>
      <c r="D12" s="1">
        <v>8792.3608928396752</v>
      </c>
      <c r="E12" s="1">
        <v>4092.5602448286477</v>
      </c>
      <c r="F12" s="2">
        <v>23000</v>
      </c>
      <c r="G12" s="1">
        <v>6150.9075216318488</v>
      </c>
      <c r="H12" s="1">
        <v>3729.9572590426924</v>
      </c>
      <c r="I12" s="10">
        <f t="shared" si="0"/>
        <v>62544.209553989371</v>
      </c>
      <c r="K12" s="60">
        <v>17447</v>
      </c>
      <c r="L12" s="61">
        <f t="shared" si="1"/>
        <v>79991.209553989378</v>
      </c>
    </row>
    <row r="13" spans="1:12" x14ac:dyDescent="0.25">
      <c r="A13" s="6">
        <v>1970</v>
      </c>
      <c r="B13" s="1">
        <v>3758.8202085145886</v>
      </c>
      <c r="C13" s="1">
        <v>6764.5824454307149</v>
      </c>
      <c r="D13" s="1">
        <v>4024.5598692928706</v>
      </c>
      <c r="E13" s="1">
        <v>1873.3027415319198</v>
      </c>
      <c r="F13" s="2">
        <v>10000</v>
      </c>
      <c r="G13" s="2">
        <v>500</v>
      </c>
      <c r="H13" s="1">
        <v>1707.3271210319813</v>
      </c>
      <c r="I13" s="10">
        <f t="shared" si="0"/>
        <v>28628.592385802076</v>
      </c>
      <c r="K13" s="60">
        <v>0</v>
      </c>
      <c r="L13" s="61">
        <f t="shared" si="1"/>
        <v>28628.592385802076</v>
      </c>
    </row>
    <row r="14" spans="1:12" x14ac:dyDescent="0.25">
      <c r="A14" s="6">
        <v>1971</v>
      </c>
      <c r="B14" s="2">
        <v>500</v>
      </c>
      <c r="C14" s="1">
        <v>11410.399745351455</v>
      </c>
      <c r="D14" s="2">
        <v>5000</v>
      </c>
      <c r="E14" s="2">
        <v>5000</v>
      </c>
      <c r="F14" s="2">
        <v>20000</v>
      </c>
      <c r="G14" s="2">
        <v>3500</v>
      </c>
      <c r="H14" s="1">
        <v>2879.8946592338225</v>
      </c>
      <c r="I14" s="10">
        <f t="shared" si="0"/>
        <v>48290.294404585278</v>
      </c>
      <c r="K14" s="60">
        <v>24752</v>
      </c>
      <c r="L14" s="61">
        <f t="shared" si="1"/>
        <v>73042.294404585278</v>
      </c>
    </row>
    <row r="15" spans="1:12" x14ac:dyDescent="0.25">
      <c r="A15" s="6">
        <v>1972</v>
      </c>
      <c r="B15" s="1">
        <v>13975.486065057641</v>
      </c>
      <c r="C15" s="1">
        <v>25151.063484942835</v>
      </c>
      <c r="D15" s="2">
        <v>200</v>
      </c>
      <c r="E15" s="2">
        <v>300</v>
      </c>
      <c r="F15" s="2">
        <v>50000</v>
      </c>
      <c r="G15" s="1">
        <v>10468.089717855151</v>
      </c>
      <c r="H15" s="1">
        <v>6347.9295216372484</v>
      </c>
      <c r="I15" s="10">
        <f t="shared" si="0"/>
        <v>106442.56878949289</v>
      </c>
      <c r="K15" s="60">
        <v>0</v>
      </c>
      <c r="L15" s="61">
        <f t="shared" si="1"/>
        <v>106442.56878949289</v>
      </c>
    </row>
    <row r="16" spans="1:12" x14ac:dyDescent="0.25">
      <c r="A16" s="6">
        <v>1973</v>
      </c>
      <c r="B16" s="2">
        <v>1000</v>
      </c>
      <c r="C16" s="2">
        <v>20000</v>
      </c>
      <c r="D16" s="2">
        <v>12000</v>
      </c>
      <c r="E16" s="2">
        <v>7000</v>
      </c>
      <c r="F16" s="2">
        <v>25000</v>
      </c>
      <c r="G16" s="2">
        <v>12000</v>
      </c>
      <c r="H16" s="1">
        <v>4883.2842255740361</v>
      </c>
      <c r="I16" s="10">
        <f t="shared" si="0"/>
        <v>81883.28422557404</v>
      </c>
      <c r="K16" s="60">
        <v>105602</v>
      </c>
      <c r="L16" s="61">
        <f t="shared" si="1"/>
        <v>187485.28422557405</v>
      </c>
    </row>
    <row r="17" spans="1:12" x14ac:dyDescent="0.25">
      <c r="A17" s="6">
        <v>1974</v>
      </c>
      <c r="B17" s="2">
        <v>1500</v>
      </c>
      <c r="C17" s="1">
        <v>19794.215726613558</v>
      </c>
      <c r="D17" s="2">
        <v>20000</v>
      </c>
      <c r="E17" s="1">
        <v>5481.5738103896592</v>
      </c>
      <c r="F17" s="2">
        <v>31000</v>
      </c>
      <c r="G17" s="2">
        <v>1000</v>
      </c>
      <c r="H17" s="1">
        <v>4995.903511863884</v>
      </c>
      <c r="I17" s="10">
        <f t="shared" si="0"/>
        <v>83771.693048867106</v>
      </c>
      <c r="K17" s="60">
        <v>8665</v>
      </c>
      <c r="L17" s="61">
        <f t="shared" si="1"/>
        <v>92436.693048867106</v>
      </c>
    </row>
    <row r="18" spans="1:12" x14ac:dyDescent="0.25">
      <c r="A18" s="6">
        <v>1975</v>
      </c>
      <c r="B18" s="2">
        <v>2500</v>
      </c>
      <c r="C18" s="1">
        <v>27015.799391520424</v>
      </c>
      <c r="D18" s="2">
        <v>25000</v>
      </c>
      <c r="E18" s="2">
        <v>15000</v>
      </c>
      <c r="F18" s="2">
        <v>18000</v>
      </c>
      <c r="G18" s="2">
        <v>20000</v>
      </c>
      <c r="H18" s="1">
        <v>6818.5741191478919</v>
      </c>
      <c r="I18" s="10">
        <f t="shared" si="0"/>
        <v>114334.37351066832</v>
      </c>
      <c r="K18" s="60">
        <v>191984</v>
      </c>
      <c r="L18" s="61">
        <f t="shared" si="1"/>
        <v>306318.37351066829</v>
      </c>
    </row>
    <row r="19" spans="1:12" x14ac:dyDescent="0.25">
      <c r="A19" s="6">
        <v>1976</v>
      </c>
      <c r="B19" s="2">
        <v>500</v>
      </c>
      <c r="C19" s="1">
        <v>31403.440399889165</v>
      </c>
      <c r="D19" s="2">
        <v>20000</v>
      </c>
      <c r="E19" s="2">
        <v>11000</v>
      </c>
      <c r="F19" s="2">
        <v>60000</v>
      </c>
      <c r="G19" s="2">
        <v>2000</v>
      </c>
      <c r="H19" s="2">
        <v>8000</v>
      </c>
      <c r="I19" s="10">
        <f t="shared" si="0"/>
        <v>132903.44039988916</v>
      </c>
      <c r="K19" s="60">
        <v>63894</v>
      </c>
      <c r="L19" s="61">
        <f t="shared" si="1"/>
        <v>196797.44039988916</v>
      </c>
    </row>
    <row r="20" spans="1:12" x14ac:dyDescent="0.25">
      <c r="A20" s="6">
        <v>1977</v>
      </c>
      <c r="B20" s="2">
        <v>15200</v>
      </c>
      <c r="C20" s="2">
        <v>12000</v>
      </c>
      <c r="D20" s="2">
        <v>40000</v>
      </c>
      <c r="E20" s="2">
        <v>25000</v>
      </c>
      <c r="F20" s="2">
        <v>74000</v>
      </c>
      <c r="G20" s="2">
        <v>35000</v>
      </c>
      <c r="H20" s="1">
        <v>12759.958262705557</v>
      </c>
      <c r="I20" s="10">
        <f t="shared" si="0"/>
        <v>213959.95826270556</v>
      </c>
      <c r="K20" s="60">
        <v>234405</v>
      </c>
      <c r="L20" s="61">
        <f t="shared" si="1"/>
        <v>448364.95826270559</v>
      </c>
    </row>
    <row r="21" spans="1:12" x14ac:dyDescent="0.25">
      <c r="A21" s="6">
        <v>1978</v>
      </c>
      <c r="B21" s="2">
        <v>1100</v>
      </c>
      <c r="C21" s="1">
        <v>20450.910446915568</v>
      </c>
      <c r="D21" s="2">
        <v>10000</v>
      </c>
      <c r="E21" s="2">
        <v>11000</v>
      </c>
      <c r="F21" s="2">
        <v>35000</v>
      </c>
      <c r="G21" s="2">
        <v>2000</v>
      </c>
      <c r="H21" s="2">
        <v>7000</v>
      </c>
      <c r="I21" s="10">
        <f t="shared" si="0"/>
        <v>86550.910446915572</v>
      </c>
      <c r="K21" s="60">
        <v>40864</v>
      </c>
      <c r="L21" s="61">
        <f t="shared" si="1"/>
        <v>127414.91044691557</v>
      </c>
    </row>
    <row r="22" spans="1:12" x14ac:dyDescent="0.25">
      <c r="A22" s="6">
        <v>1979</v>
      </c>
      <c r="B22" s="2">
        <v>30000</v>
      </c>
      <c r="C22" s="2">
        <v>80000</v>
      </c>
      <c r="D22" s="2">
        <v>35000</v>
      </c>
      <c r="E22" s="2">
        <v>14000</v>
      </c>
      <c r="F22" s="2">
        <v>60000</v>
      </c>
      <c r="G22" s="2">
        <v>23000</v>
      </c>
      <c r="H22" s="2">
        <v>7000</v>
      </c>
      <c r="I22" s="10">
        <f t="shared" si="0"/>
        <v>249000</v>
      </c>
      <c r="K22" s="60">
        <v>386221</v>
      </c>
      <c r="L22" s="61">
        <f t="shared" si="1"/>
        <v>635221</v>
      </c>
    </row>
    <row r="23" spans="1:12" x14ac:dyDescent="0.25">
      <c r="A23" s="6">
        <v>1980</v>
      </c>
      <c r="B23" s="2">
        <v>3950</v>
      </c>
      <c r="C23" s="2">
        <v>1738</v>
      </c>
      <c r="D23" s="2">
        <v>237</v>
      </c>
      <c r="E23" s="2">
        <v>2370</v>
      </c>
      <c r="F23" s="2">
        <v>23700</v>
      </c>
      <c r="G23" s="2">
        <v>4187</v>
      </c>
      <c r="H23" s="1">
        <v>2294.6362319277932</v>
      </c>
      <c r="I23" s="10">
        <f t="shared" si="0"/>
        <v>38476.636231927791</v>
      </c>
      <c r="K23" s="60">
        <v>4629</v>
      </c>
      <c r="L23" s="61">
        <f t="shared" si="1"/>
        <v>43105.636231927791</v>
      </c>
    </row>
    <row r="24" spans="1:12" x14ac:dyDescent="0.25">
      <c r="A24" s="6">
        <v>1981</v>
      </c>
      <c r="B24" s="2">
        <v>8295</v>
      </c>
      <c r="C24" s="2">
        <v>27650</v>
      </c>
      <c r="D24" s="2">
        <v>26860</v>
      </c>
      <c r="E24" s="2">
        <v>5530</v>
      </c>
      <c r="F24" s="2">
        <v>39500</v>
      </c>
      <c r="G24" s="2">
        <v>20540</v>
      </c>
      <c r="H24" s="2">
        <v>3160</v>
      </c>
      <c r="I24" s="10">
        <f t="shared" si="0"/>
        <v>131535</v>
      </c>
      <c r="K24" s="60">
        <v>372627</v>
      </c>
      <c r="L24" s="61">
        <f t="shared" si="1"/>
        <v>504162</v>
      </c>
    </row>
    <row r="25" spans="1:12" x14ac:dyDescent="0.25">
      <c r="A25" s="6">
        <v>1982</v>
      </c>
      <c r="B25" s="2">
        <v>3950</v>
      </c>
      <c r="C25" s="2">
        <v>7900</v>
      </c>
      <c r="D25" s="2">
        <v>3555</v>
      </c>
      <c r="E25" s="2">
        <v>15800</v>
      </c>
      <c r="F25" s="2">
        <v>32390</v>
      </c>
      <c r="G25" s="2">
        <v>5530</v>
      </c>
      <c r="H25" s="2">
        <v>6320</v>
      </c>
      <c r="I25" s="10">
        <f t="shared" si="0"/>
        <v>75445</v>
      </c>
      <c r="K25" s="60">
        <v>110094</v>
      </c>
      <c r="L25" s="61">
        <f t="shared" si="1"/>
        <v>185539</v>
      </c>
    </row>
    <row r="26" spans="1:12" x14ac:dyDescent="0.25">
      <c r="A26" s="6">
        <v>1983</v>
      </c>
      <c r="B26" s="2">
        <v>7900</v>
      </c>
      <c r="C26" s="2">
        <v>19750</v>
      </c>
      <c r="D26" s="2">
        <v>5056</v>
      </c>
      <c r="E26" s="2">
        <v>7900</v>
      </c>
      <c r="F26" s="2">
        <v>31600</v>
      </c>
      <c r="G26" s="2">
        <v>33180</v>
      </c>
      <c r="H26" s="2">
        <v>8690</v>
      </c>
      <c r="I26" s="10">
        <f t="shared" si="0"/>
        <v>114076</v>
      </c>
      <c r="K26" s="60">
        <v>155351</v>
      </c>
      <c r="L26" s="61">
        <f t="shared" si="1"/>
        <v>269427</v>
      </c>
    </row>
    <row r="27" spans="1:12" x14ac:dyDescent="0.25">
      <c r="A27" s="6">
        <v>1984</v>
      </c>
      <c r="B27" s="2">
        <v>13430</v>
      </c>
      <c r="C27" s="2">
        <v>4740</v>
      </c>
      <c r="D27" s="2">
        <v>15010</v>
      </c>
      <c r="E27" s="2">
        <v>7900</v>
      </c>
      <c r="F27" s="2">
        <v>27650</v>
      </c>
      <c r="G27" s="2">
        <v>5530</v>
      </c>
      <c r="H27" s="2">
        <v>7900</v>
      </c>
      <c r="I27" s="10">
        <f t="shared" si="0"/>
        <v>82160</v>
      </c>
      <c r="K27" s="60">
        <v>126510</v>
      </c>
      <c r="L27" s="61">
        <f t="shared" si="1"/>
        <v>208670</v>
      </c>
    </row>
    <row r="28" spans="1:12" x14ac:dyDescent="0.25">
      <c r="A28" s="6">
        <v>1985</v>
      </c>
      <c r="B28" s="2">
        <v>11060</v>
      </c>
      <c r="C28" s="2">
        <v>19750</v>
      </c>
      <c r="D28" s="2">
        <v>15800</v>
      </c>
      <c r="E28" s="2">
        <v>7900</v>
      </c>
      <c r="F28" s="2">
        <v>31600</v>
      </c>
      <c r="G28" s="2">
        <v>35550</v>
      </c>
      <c r="H28" s="2">
        <v>10270</v>
      </c>
      <c r="I28" s="10">
        <f t="shared" si="0"/>
        <v>131930</v>
      </c>
      <c r="K28" s="60">
        <v>435104</v>
      </c>
      <c r="L28" s="61">
        <f t="shared" si="1"/>
        <v>567034</v>
      </c>
    </row>
    <row r="29" spans="1:12" x14ac:dyDescent="0.25">
      <c r="A29" s="6">
        <v>1986</v>
      </c>
      <c r="B29" s="2">
        <v>1185</v>
      </c>
      <c r="C29" s="2">
        <v>395</v>
      </c>
      <c r="D29" s="2">
        <v>3950</v>
      </c>
      <c r="E29" s="2">
        <v>790</v>
      </c>
      <c r="F29" s="2">
        <v>37920</v>
      </c>
      <c r="G29" s="2">
        <v>1580</v>
      </c>
      <c r="H29" s="1">
        <v>2905.8712107590181</v>
      </c>
      <c r="I29" s="10">
        <f t="shared" si="0"/>
        <v>48725.871210759018</v>
      </c>
      <c r="K29" s="60">
        <v>55239</v>
      </c>
      <c r="L29" s="61">
        <f t="shared" si="1"/>
        <v>103964.87121075901</v>
      </c>
    </row>
    <row r="30" spans="1:12" x14ac:dyDescent="0.25">
      <c r="A30" s="6">
        <v>1987</v>
      </c>
      <c r="B30" s="2">
        <v>28440</v>
      </c>
      <c r="C30" s="2">
        <v>14220</v>
      </c>
      <c r="D30" s="2">
        <v>21330</v>
      </c>
      <c r="E30" s="2">
        <v>2765</v>
      </c>
      <c r="F30" s="2">
        <v>16590</v>
      </c>
      <c r="G30" s="2">
        <v>6320</v>
      </c>
      <c r="H30" s="2">
        <v>2370</v>
      </c>
      <c r="I30" s="10">
        <f t="shared" si="0"/>
        <v>92035</v>
      </c>
      <c r="K30" s="60">
        <v>16897</v>
      </c>
      <c r="L30" s="61">
        <f t="shared" si="1"/>
        <v>108932</v>
      </c>
    </row>
    <row r="31" spans="1:12" x14ac:dyDescent="0.25">
      <c r="A31" s="6">
        <v>1988</v>
      </c>
      <c r="B31" s="2">
        <v>4740</v>
      </c>
      <c r="C31" s="2">
        <v>7900</v>
      </c>
      <c r="D31" s="2">
        <v>3160</v>
      </c>
      <c r="E31" s="2">
        <v>632</v>
      </c>
      <c r="F31" s="2">
        <v>14220</v>
      </c>
      <c r="G31" s="2">
        <v>1580</v>
      </c>
      <c r="H31" s="1">
        <v>2044.1300930957811</v>
      </c>
      <c r="I31" s="10">
        <f t="shared" si="0"/>
        <v>34276.13009309578</v>
      </c>
      <c r="K31" s="60">
        <v>1250</v>
      </c>
      <c r="L31" s="61">
        <f t="shared" si="1"/>
        <v>35526.13009309578</v>
      </c>
    </row>
    <row r="32" spans="1:12" x14ac:dyDescent="0.25">
      <c r="A32" s="6">
        <v>1989</v>
      </c>
      <c r="B32" s="2">
        <v>16590</v>
      </c>
      <c r="C32" s="2">
        <v>134300</v>
      </c>
      <c r="D32" s="2">
        <v>35550</v>
      </c>
      <c r="E32" s="2">
        <v>5135</v>
      </c>
      <c r="F32" s="2">
        <v>20935</v>
      </c>
      <c r="G32" s="2">
        <v>2370</v>
      </c>
      <c r="H32" s="1">
        <v>13627.533954381985</v>
      </c>
      <c r="I32" s="10">
        <f t="shared" si="0"/>
        <v>228507.53395438197</v>
      </c>
      <c r="K32" s="60">
        <v>126394</v>
      </c>
      <c r="L32" s="61">
        <f t="shared" si="1"/>
        <v>354901.53395438194</v>
      </c>
    </row>
    <row r="33" spans="1:14" x14ac:dyDescent="0.25">
      <c r="A33" s="6">
        <v>1990</v>
      </c>
      <c r="B33" s="2">
        <v>27650</v>
      </c>
      <c r="C33" s="2">
        <v>16590</v>
      </c>
      <c r="D33" s="2">
        <v>4740</v>
      </c>
      <c r="E33" s="2">
        <v>3160</v>
      </c>
      <c r="F33" s="2">
        <v>31600</v>
      </c>
      <c r="G33" s="2">
        <v>7900</v>
      </c>
      <c r="H33" s="1">
        <v>5811.742421793344</v>
      </c>
      <c r="I33" s="10">
        <f t="shared" si="0"/>
        <v>97451.742421793344</v>
      </c>
      <c r="K33" s="60">
        <v>12792</v>
      </c>
      <c r="L33" s="61">
        <f t="shared" si="1"/>
        <v>110243.74242179334</v>
      </c>
    </row>
    <row r="34" spans="1:14" x14ac:dyDescent="0.25">
      <c r="A34" s="6">
        <v>1991</v>
      </c>
      <c r="B34" s="2">
        <v>18960</v>
      </c>
      <c r="C34" s="2">
        <v>27650</v>
      </c>
      <c r="D34" s="2">
        <v>37130</v>
      </c>
      <c r="E34" s="2">
        <v>9480</v>
      </c>
      <c r="F34" s="2">
        <v>126400</v>
      </c>
      <c r="G34" s="2">
        <v>3162</v>
      </c>
      <c r="H34" s="2">
        <v>237</v>
      </c>
      <c r="I34" s="10">
        <f t="shared" si="0"/>
        <v>223019</v>
      </c>
      <c r="K34" s="60">
        <v>149099</v>
      </c>
      <c r="L34" s="61">
        <f t="shared" si="1"/>
        <v>372118</v>
      </c>
    </row>
    <row r="35" spans="1:14" x14ac:dyDescent="0.25">
      <c r="A35" s="6">
        <v>1992</v>
      </c>
      <c r="B35" s="2">
        <v>37000</v>
      </c>
      <c r="C35" s="2">
        <v>11850</v>
      </c>
      <c r="D35" s="2">
        <v>19750</v>
      </c>
      <c r="E35" s="2">
        <v>8000</v>
      </c>
      <c r="F35" s="2">
        <v>33000</v>
      </c>
      <c r="G35" s="2">
        <v>13000</v>
      </c>
      <c r="H35" s="1">
        <v>7775.2031964534299</v>
      </c>
      <c r="I35" s="10">
        <f t="shared" ref="I35:I57" si="2">SUM(B35:H35)</f>
        <v>130375.20319645343</v>
      </c>
      <c r="K35" s="60">
        <v>204105</v>
      </c>
      <c r="L35" s="61">
        <f t="shared" si="1"/>
        <v>334480.2031964534</v>
      </c>
    </row>
    <row r="36" spans="1:14" x14ac:dyDescent="0.25">
      <c r="A36" s="6">
        <v>1993</v>
      </c>
      <c r="B36" s="2">
        <v>3950</v>
      </c>
      <c r="C36" s="2">
        <v>10270</v>
      </c>
      <c r="D36" s="1">
        <v>6736.8934114200174</v>
      </c>
      <c r="E36" s="1">
        <v>3135.8064639734107</v>
      </c>
      <c r="F36" s="2">
        <v>9480</v>
      </c>
      <c r="G36" s="2">
        <v>11850</v>
      </c>
      <c r="H36" s="2">
        <v>2500</v>
      </c>
      <c r="I36" s="10">
        <f t="shared" si="2"/>
        <v>47922.699875393431</v>
      </c>
      <c r="K36" s="60">
        <v>2168</v>
      </c>
      <c r="L36" s="61">
        <f t="shared" si="1"/>
        <v>50090.699875393431</v>
      </c>
    </row>
    <row r="37" spans="1:14" x14ac:dyDescent="0.25">
      <c r="A37" s="6">
        <v>1994</v>
      </c>
      <c r="B37" s="2">
        <v>170000</v>
      </c>
      <c r="C37" s="2">
        <v>74000</v>
      </c>
      <c r="D37" s="2">
        <v>66000</v>
      </c>
      <c r="E37" s="2">
        <v>7900</v>
      </c>
      <c r="F37" s="2">
        <v>55000</v>
      </c>
      <c r="G37" s="2">
        <v>39500</v>
      </c>
      <c r="H37" s="2">
        <v>9480</v>
      </c>
      <c r="I37" s="10">
        <f t="shared" si="2"/>
        <v>421880</v>
      </c>
      <c r="K37" s="60">
        <v>485433</v>
      </c>
      <c r="L37" s="61">
        <f t="shared" si="1"/>
        <v>907313</v>
      </c>
    </row>
    <row r="38" spans="1:14" x14ac:dyDescent="0.25">
      <c r="A38" s="6">
        <v>1995</v>
      </c>
      <c r="B38" s="2">
        <v>22000</v>
      </c>
      <c r="C38" s="2">
        <v>51000</v>
      </c>
      <c r="D38" s="2">
        <v>90000</v>
      </c>
      <c r="E38" s="2">
        <v>25000</v>
      </c>
      <c r="F38" s="2">
        <v>35500</v>
      </c>
      <c r="G38" s="2">
        <v>45000</v>
      </c>
      <c r="H38" s="2">
        <v>19000</v>
      </c>
      <c r="I38" s="10">
        <f t="shared" si="2"/>
        <v>287500</v>
      </c>
      <c r="K38" s="60">
        <v>613509</v>
      </c>
      <c r="L38" s="61">
        <f t="shared" si="1"/>
        <v>901009</v>
      </c>
    </row>
    <row r="39" spans="1:14" x14ac:dyDescent="0.25">
      <c r="A39" s="6">
        <v>1996</v>
      </c>
      <c r="B39" s="2">
        <v>34000</v>
      </c>
      <c r="C39" s="2">
        <v>30000</v>
      </c>
      <c r="D39" s="2">
        <v>60000</v>
      </c>
      <c r="E39" s="2">
        <v>25000</v>
      </c>
      <c r="F39" s="2">
        <v>82000</v>
      </c>
      <c r="G39" s="2">
        <v>27000</v>
      </c>
      <c r="H39" s="2">
        <v>49000</v>
      </c>
      <c r="I39" s="10">
        <f t="shared" si="2"/>
        <v>307000</v>
      </c>
      <c r="K39" s="60">
        <v>243283</v>
      </c>
      <c r="L39" s="61">
        <f t="shared" si="1"/>
        <v>550283</v>
      </c>
    </row>
    <row r="40" spans="1:14" x14ac:dyDescent="0.25">
      <c r="A40" s="6">
        <v>1997</v>
      </c>
      <c r="B40" s="2">
        <v>45000</v>
      </c>
      <c r="C40" s="2">
        <v>266000</v>
      </c>
      <c r="D40" s="2">
        <v>28000</v>
      </c>
      <c r="E40" s="2">
        <v>44000</v>
      </c>
      <c r="F40" s="2">
        <v>107000</v>
      </c>
      <c r="G40" s="2">
        <v>42000</v>
      </c>
      <c r="H40" s="2">
        <v>35000</v>
      </c>
      <c r="I40" s="10">
        <f t="shared" si="2"/>
        <v>567000</v>
      </c>
      <c r="K40" s="60">
        <v>74874</v>
      </c>
      <c r="L40" s="61">
        <f t="shared" si="1"/>
        <v>641874</v>
      </c>
      <c r="M40" s="36"/>
      <c r="N40" s="36"/>
    </row>
    <row r="41" spans="1:14" x14ac:dyDescent="0.25">
      <c r="A41" s="7">
        <v>1998</v>
      </c>
      <c r="B41" s="3">
        <v>50000</v>
      </c>
      <c r="C41" s="3">
        <v>30000</v>
      </c>
      <c r="D41" s="3">
        <v>13000</v>
      </c>
      <c r="E41" s="3">
        <v>15000</v>
      </c>
      <c r="F41" s="3">
        <v>43000</v>
      </c>
      <c r="G41" s="3">
        <v>35000</v>
      </c>
      <c r="H41" s="3">
        <v>25000</v>
      </c>
      <c r="I41" s="10">
        <f t="shared" si="2"/>
        <v>211000</v>
      </c>
      <c r="K41" s="60">
        <v>158591</v>
      </c>
      <c r="L41" s="61">
        <f t="shared" si="1"/>
        <v>369591</v>
      </c>
      <c r="M41" s="36"/>
      <c r="N41" s="36"/>
    </row>
    <row r="42" spans="1:14" x14ac:dyDescent="0.25">
      <c r="A42" s="8">
        <v>1999</v>
      </c>
      <c r="B42" s="3">
        <v>200000</v>
      </c>
      <c r="C42" s="3">
        <v>80000</v>
      </c>
      <c r="D42" s="3">
        <v>510000</v>
      </c>
      <c r="E42" s="3">
        <v>29000</v>
      </c>
      <c r="F42" s="3">
        <v>210500</v>
      </c>
      <c r="G42" s="3">
        <v>117000</v>
      </c>
      <c r="H42" s="3">
        <v>44000</v>
      </c>
      <c r="I42" s="10">
        <f t="shared" si="2"/>
        <v>1190500</v>
      </c>
      <c r="K42" s="60">
        <v>245267</v>
      </c>
      <c r="L42" s="61">
        <f t="shared" si="1"/>
        <v>1435767</v>
      </c>
      <c r="M42" s="36"/>
      <c r="N42" s="36"/>
    </row>
    <row r="43" spans="1:14" x14ac:dyDescent="0.25">
      <c r="A43" s="8">
        <v>2000</v>
      </c>
      <c r="B43" s="1">
        <v>46621.999004549201</v>
      </c>
      <c r="C43" s="1">
        <v>65424.867320378718</v>
      </c>
      <c r="D43" s="3">
        <v>151000</v>
      </c>
      <c r="E43" s="3">
        <v>40000</v>
      </c>
      <c r="F43" s="1">
        <v>81310.062163296388</v>
      </c>
      <c r="G43" s="3">
        <v>10000</v>
      </c>
      <c r="H43" s="1">
        <v>18754.47168764297</v>
      </c>
      <c r="I43" s="10">
        <f t="shared" si="2"/>
        <v>413111.40017586725</v>
      </c>
      <c r="K43" s="60">
        <v>737656</v>
      </c>
      <c r="L43" s="61">
        <f t="shared" si="1"/>
        <v>1150767.4001758671</v>
      </c>
      <c r="M43" s="36"/>
      <c r="N43" s="36"/>
    </row>
    <row r="44" spans="1:14" x14ac:dyDescent="0.25">
      <c r="A44" s="8">
        <v>2001</v>
      </c>
      <c r="B44" s="3">
        <v>81000</v>
      </c>
      <c r="C44" s="3">
        <v>106000</v>
      </c>
      <c r="D44" s="3">
        <v>180000</v>
      </c>
      <c r="E44" s="3">
        <v>65000</v>
      </c>
      <c r="F44" s="3">
        <v>60000</v>
      </c>
      <c r="G44" s="3">
        <v>50000</v>
      </c>
      <c r="H44" s="3">
        <v>26000</v>
      </c>
      <c r="I44" s="10">
        <f t="shared" si="2"/>
        <v>568000</v>
      </c>
      <c r="K44" s="60">
        <v>235758</v>
      </c>
      <c r="L44" s="61">
        <f t="shared" si="1"/>
        <v>803758</v>
      </c>
      <c r="M44" s="36"/>
      <c r="N44" s="36"/>
    </row>
    <row r="45" spans="1:14" x14ac:dyDescent="0.25">
      <c r="A45" s="9">
        <v>2002</v>
      </c>
      <c r="B45" s="1">
        <v>48231.856352580318</v>
      </c>
      <c r="C45" s="1">
        <v>67308.617218624262</v>
      </c>
      <c r="D45" s="1">
        <v>73655.82802771253</v>
      </c>
      <c r="E45" s="5">
        <v>14520</v>
      </c>
      <c r="F45" s="5">
        <v>30250</v>
      </c>
      <c r="G45" s="5">
        <v>32670</v>
      </c>
      <c r="H45" s="5">
        <v>6050</v>
      </c>
      <c r="I45" s="10">
        <f t="shared" si="2"/>
        <v>272686.30159891711</v>
      </c>
      <c r="K45" s="60">
        <v>611383</v>
      </c>
      <c r="L45" s="61">
        <f t="shared" si="1"/>
        <v>884069.30159891711</v>
      </c>
      <c r="M45" s="36"/>
      <c r="N45" s="36"/>
    </row>
    <row r="46" spans="1:14" x14ac:dyDescent="0.25">
      <c r="A46" s="9">
        <v>2003</v>
      </c>
      <c r="B46" s="5">
        <v>46800</v>
      </c>
      <c r="C46" s="5">
        <v>234000</v>
      </c>
      <c r="D46" s="5">
        <v>204750</v>
      </c>
      <c r="E46" s="5">
        <v>19890</v>
      </c>
      <c r="F46" s="5">
        <v>136890</v>
      </c>
      <c r="G46" s="5">
        <v>140400</v>
      </c>
      <c r="H46" s="5">
        <v>38610</v>
      </c>
      <c r="I46" s="10">
        <f t="shared" si="2"/>
        <v>821340</v>
      </c>
      <c r="K46" s="60">
        <v>452807</v>
      </c>
      <c r="L46" s="61">
        <f t="shared" si="1"/>
        <v>1274147</v>
      </c>
      <c r="M46" s="36"/>
      <c r="N46" s="36"/>
    </row>
    <row r="47" spans="1:14" x14ac:dyDescent="0.25">
      <c r="A47" s="8">
        <v>2004</v>
      </c>
      <c r="B47" s="5">
        <v>35000</v>
      </c>
      <c r="C47" s="5">
        <v>34000</v>
      </c>
      <c r="D47" s="5">
        <v>81000</v>
      </c>
      <c r="E47" s="5">
        <v>13000</v>
      </c>
      <c r="F47" s="5">
        <v>30000</v>
      </c>
      <c r="G47" s="5">
        <v>64000</v>
      </c>
      <c r="H47" s="5">
        <v>10000</v>
      </c>
      <c r="I47" s="10">
        <f t="shared" si="2"/>
        <v>267000</v>
      </c>
      <c r="K47" s="60">
        <v>630376</v>
      </c>
      <c r="L47" s="61">
        <f t="shared" si="1"/>
        <v>897376</v>
      </c>
      <c r="M47" s="36"/>
      <c r="N47" s="36"/>
    </row>
    <row r="48" spans="1:14" x14ac:dyDescent="0.25">
      <c r="A48" s="8">
        <v>2005</v>
      </c>
      <c r="B48" s="5">
        <v>75000</v>
      </c>
      <c r="C48" s="21">
        <v>90000</v>
      </c>
      <c r="D48" s="5">
        <v>131000</v>
      </c>
      <c r="E48" s="5">
        <v>56000</v>
      </c>
      <c r="F48" s="5">
        <v>61000</v>
      </c>
      <c r="G48" s="5">
        <v>28000</v>
      </c>
      <c r="H48" s="21">
        <v>55000</v>
      </c>
      <c r="I48" s="10">
        <f t="shared" si="2"/>
        <v>496000</v>
      </c>
      <c r="K48" s="60">
        <v>953566</v>
      </c>
      <c r="L48" s="61">
        <f t="shared" si="1"/>
        <v>1449566</v>
      </c>
      <c r="M48" s="36"/>
      <c r="N48" s="36"/>
    </row>
    <row r="49" spans="1:14" x14ac:dyDescent="0.25">
      <c r="A49" s="9">
        <v>2006</v>
      </c>
      <c r="B49" s="11">
        <v>32000</v>
      </c>
      <c r="C49" s="11">
        <v>44000</v>
      </c>
      <c r="D49" s="11">
        <v>71000</v>
      </c>
      <c r="E49" s="11">
        <v>24000</v>
      </c>
      <c r="F49" s="11">
        <v>30000</v>
      </c>
      <c r="G49" s="11">
        <v>42000</v>
      </c>
      <c r="H49" s="11">
        <v>44000</v>
      </c>
      <c r="I49" s="10">
        <f t="shared" si="2"/>
        <v>287000</v>
      </c>
      <c r="K49" s="61">
        <v>1019734</v>
      </c>
      <c r="L49" s="61">
        <f t="shared" si="1"/>
        <v>1306734</v>
      </c>
    </row>
    <row r="50" spans="1:14" x14ac:dyDescent="0.25">
      <c r="A50" s="9">
        <v>2007</v>
      </c>
      <c r="B50" s="11">
        <v>190000</v>
      </c>
      <c r="C50" s="11">
        <v>89000</v>
      </c>
      <c r="D50" s="11">
        <v>93000</v>
      </c>
      <c r="E50" s="11">
        <v>31000</v>
      </c>
      <c r="F50" s="11">
        <v>33000</v>
      </c>
      <c r="G50" s="11">
        <v>61000</v>
      </c>
      <c r="H50" s="11">
        <v>19000</v>
      </c>
      <c r="I50" s="10">
        <f t="shared" si="2"/>
        <v>516000</v>
      </c>
      <c r="K50" s="61">
        <v>965119</v>
      </c>
      <c r="L50" s="61">
        <f t="shared" si="1"/>
        <v>1481119</v>
      </c>
    </row>
    <row r="51" spans="1:14" x14ac:dyDescent="0.25">
      <c r="A51" s="9">
        <v>2008</v>
      </c>
      <c r="B51" s="11">
        <v>45000</v>
      </c>
      <c r="C51" s="11">
        <v>57000</v>
      </c>
      <c r="D51" s="11">
        <v>83000</v>
      </c>
      <c r="E51" s="11">
        <v>20000</v>
      </c>
      <c r="F51" s="11">
        <v>44000</v>
      </c>
      <c r="G51" s="11">
        <v>28000</v>
      </c>
      <c r="H51" s="11">
        <v>22000</v>
      </c>
      <c r="I51" s="10">
        <f t="shared" si="2"/>
        <v>299000</v>
      </c>
      <c r="K51" s="61">
        <v>270045</v>
      </c>
      <c r="L51" s="61">
        <f t="shared" si="1"/>
        <v>569045</v>
      </c>
    </row>
    <row r="52" spans="1:14" x14ac:dyDescent="0.25">
      <c r="A52" s="9">
        <v>2009</v>
      </c>
      <c r="B52" s="11">
        <v>22000</v>
      </c>
      <c r="C52" s="11">
        <v>32000</v>
      </c>
      <c r="D52" s="11">
        <v>83000</v>
      </c>
      <c r="E52" s="11">
        <v>13000</v>
      </c>
      <c r="F52" s="11">
        <v>46000</v>
      </c>
      <c r="G52" s="11">
        <v>27000</v>
      </c>
      <c r="H52" s="11">
        <v>16000</v>
      </c>
      <c r="I52" s="10">
        <f t="shared" si="2"/>
        <v>239000</v>
      </c>
      <c r="K52" s="61">
        <v>278326</v>
      </c>
      <c r="L52" s="61">
        <f t="shared" si="1"/>
        <v>517326</v>
      </c>
      <c r="M52" s="36"/>
      <c r="N52" s="36"/>
    </row>
    <row r="53" spans="1:14" x14ac:dyDescent="0.25">
      <c r="A53" s="9">
        <v>2010</v>
      </c>
      <c r="B53" s="11">
        <v>43000</v>
      </c>
      <c r="C53" s="11">
        <v>45000</v>
      </c>
      <c r="D53" s="11">
        <v>123000</v>
      </c>
      <c r="E53" s="11">
        <v>27000</v>
      </c>
      <c r="F53" s="11">
        <v>67000</v>
      </c>
      <c r="G53" s="11">
        <v>30000</v>
      </c>
      <c r="H53" s="11">
        <v>18000</v>
      </c>
      <c r="I53" s="10">
        <f t="shared" si="2"/>
        <v>353000</v>
      </c>
      <c r="K53" s="61">
        <v>2250175</v>
      </c>
      <c r="L53" s="61">
        <f t="shared" si="1"/>
        <v>2603175</v>
      </c>
      <c r="M53" s="36"/>
      <c r="N53" s="36"/>
    </row>
    <row r="54" spans="1:14" x14ac:dyDescent="0.25">
      <c r="A54" s="9">
        <v>2011</v>
      </c>
      <c r="B54" s="11">
        <v>22000</v>
      </c>
      <c r="C54" s="11">
        <v>46000</v>
      </c>
      <c r="D54" s="11">
        <v>145000</v>
      </c>
      <c r="E54" s="11">
        <v>28000</v>
      </c>
      <c r="F54" s="11">
        <v>55000</v>
      </c>
      <c r="G54" s="11">
        <v>46000</v>
      </c>
      <c r="H54" s="11">
        <v>36000</v>
      </c>
      <c r="I54" s="10">
        <f t="shared" si="2"/>
        <v>378000</v>
      </c>
      <c r="K54" s="61">
        <v>1912610</v>
      </c>
      <c r="L54" s="61">
        <f t="shared" si="1"/>
        <v>2290610</v>
      </c>
      <c r="M54" s="36"/>
      <c r="N54" s="36"/>
    </row>
    <row r="55" spans="1:14" x14ac:dyDescent="0.25">
      <c r="A55" s="9">
        <v>2012</v>
      </c>
      <c r="B55" s="90">
        <v>45000</v>
      </c>
      <c r="C55" s="90">
        <v>85000</v>
      </c>
      <c r="D55" s="90">
        <v>120000</v>
      </c>
      <c r="E55" s="90">
        <v>39000</v>
      </c>
      <c r="F55" s="90">
        <v>92000</v>
      </c>
      <c r="G55" s="90">
        <v>59000</v>
      </c>
      <c r="H55" s="90">
        <v>39000</v>
      </c>
      <c r="I55" s="92">
        <f t="shared" si="2"/>
        <v>479000</v>
      </c>
      <c r="K55" s="61">
        <v>298316</v>
      </c>
      <c r="L55" s="61">
        <f t="shared" si="1"/>
        <v>777316</v>
      </c>
      <c r="M55" s="36"/>
      <c r="N55" s="36"/>
    </row>
    <row r="56" spans="1:14" x14ac:dyDescent="0.25">
      <c r="A56" s="9">
        <v>2013</v>
      </c>
      <c r="B56" s="90">
        <v>115000</v>
      </c>
      <c r="C56" s="90">
        <v>105000</v>
      </c>
      <c r="D56" s="90">
        <v>180000</v>
      </c>
      <c r="E56" s="90">
        <v>50000</v>
      </c>
      <c r="F56" s="90">
        <v>200000</v>
      </c>
      <c r="G56" s="90">
        <v>76000</v>
      </c>
      <c r="H56" s="90">
        <v>80000</v>
      </c>
      <c r="I56" s="92">
        <f t="shared" si="2"/>
        <v>806000</v>
      </c>
      <c r="K56" s="61">
        <v>1715135</v>
      </c>
      <c r="L56" s="61">
        <f t="shared" si="1"/>
        <v>2521135</v>
      </c>
      <c r="M56" s="36"/>
      <c r="N56" s="36"/>
    </row>
    <row r="57" spans="1:14" x14ac:dyDescent="0.25">
      <c r="A57" s="9">
        <v>2014</v>
      </c>
      <c r="B57" s="90">
        <v>63000</v>
      </c>
      <c r="C57" s="90">
        <v>155000</v>
      </c>
      <c r="D57" s="90">
        <v>115000</v>
      </c>
      <c r="E57" s="90">
        <v>30000</v>
      </c>
      <c r="F57" s="90">
        <v>111000</v>
      </c>
      <c r="G57" s="90">
        <v>85000</v>
      </c>
      <c r="H57" s="90">
        <v>85000</v>
      </c>
      <c r="I57" s="92">
        <f t="shared" si="2"/>
        <v>644000</v>
      </c>
      <c r="K57" s="61">
        <v>1315539</v>
      </c>
      <c r="L57" s="61">
        <f t="shared" si="1"/>
        <v>1959539</v>
      </c>
      <c r="M57" s="36"/>
      <c r="N57" s="36"/>
    </row>
    <row r="58" spans="1:14" x14ac:dyDescent="0.25">
      <c r="A58" s="9">
        <v>2015</v>
      </c>
      <c r="B58" s="90">
        <v>90000</v>
      </c>
      <c r="C58" s="90">
        <v>138000</v>
      </c>
      <c r="D58" s="90">
        <v>45000</v>
      </c>
      <c r="E58" s="90">
        <v>15000</v>
      </c>
      <c r="F58" s="90">
        <v>70000</v>
      </c>
      <c r="G58" s="90">
        <v>70000</v>
      </c>
      <c r="H58" s="90">
        <v>31000</v>
      </c>
      <c r="I58" s="92">
        <v>459000</v>
      </c>
      <c r="K58" s="61">
        <v>1116089</v>
      </c>
      <c r="L58" s="61">
        <f t="shared" si="1"/>
        <v>1575089</v>
      </c>
      <c r="M58" s="36"/>
      <c r="N58" s="36"/>
    </row>
    <row r="59" spans="1:14" x14ac:dyDescent="0.25">
      <c r="A59" s="9">
        <v>2016</v>
      </c>
      <c r="B59" s="90">
        <v>110000</v>
      </c>
      <c r="C59" s="90">
        <v>95000</v>
      </c>
      <c r="D59" s="90">
        <v>45000</v>
      </c>
      <c r="E59" s="90">
        <v>40000</v>
      </c>
      <c r="F59" s="90">
        <v>70000</v>
      </c>
      <c r="G59" s="90">
        <v>90000</v>
      </c>
      <c r="H59" s="90">
        <v>63000</v>
      </c>
      <c r="I59" s="92">
        <f t="shared" ref="I59:I63" si="3">SUM(B59:H59)</f>
        <v>513000</v>
      </c>
      <c r="K59" s="61">
        <v>1045000</v>
      </c>
      <c r="L59" s="61">
        <f t="shared" si="1"/>
        <v>1558000</v>
      </c>
      <c r="M59" s="36"/>
      <c r="N59" s="36"/>
    </row>
    <row r="60" spans="1:14" x14ac:dyDescent="0.25">
      <c r="A60" s="9">
        <v>2017</v>
      </c>
      <c r="B60" s="90">
        <v>17000</v>
      </c>
      <c r="C60" s="90">
        <v>94000</v>
      </c>
      <c r="D60" s="90">
        <v>106000</v>
      </c>
      <c r="E60" s="90">
        <v>60000</v>
      </c>
      <c r="F60" s="90">
        <v>60000</v>
      </c>
      <c r="G60" s="90">
        <v>98000</v>
      </c>
      <c r="H60" s="90">
        <v>58000</v>
      </c>
      <c r="I60" s="92">
        <f t="shared" si="3"/>
        <v>493000</v>
      </c>
      <c r="K60" s="145">
        <v>2197882</v>
      </c>
      <c r="L60" s="61">
        <f>K60+I60</f>
        <v>2690882</v>
      </c>
      <c r="M60" s="36"/>
      <c r="N60" s="36"/>
    </row>
    <row r="61" spans="1:14" x14ac:dyDescent="0.25">
      <c r="A61" s="9">
        <v>2018</v>
      </c>
      <c r="B61" s="90">
        <v>92200</v>
      </c>
      <c r="C61" s="90">
        <v>60000</v>
      </c>
      <c r="D61" s="90">
        <v>58000</v>
      </c>
      <c r="E61" s="90">
        <v>65000</v>
      </c>
      <c r="F61" s="90">
        <v>120000</v>
      </c>
      <c r="G61" s="90">
        <v>180000</v>
      </c>
      <c r="H61" s="90">
        <v>91000</v>
      </c>
      <c r="I61" s="92">
        <f t="shared" si="3"/>
        <v>666200</v>
      </c>
      <c r="K61" s="145">
        <v>899968</v>
      </c>
      <c r="L61" s="61">
        <f t="shared" ref="L61:L67" si="4">K61+I61</f>
        <v>1566168</v>
      </c>
      <c r="M61" s="36"/>
      <c r="N61" s="36"/>
    </row>
    <row r="62" spans="1:14" x14ac:dyDescent="0.25">
      <c r="A62" s="9">
        <v>2019</v>
      </c>
      <c r="B62" s="90">
        <v>85000</v>
      </c>
      <c r="C62" s="90">
        <v>55000</v>
      </c>
      <c r="D62" s="90">
        <v>47000</v>
      </c>
      <c r="E62" s="90">
        <v>36100</v>
      </c>
      <c r="F62" s="90">
        <v>75000</v>
      </c>
      <c r="G62" s="90">
        <v>55000</v>
      </c>
      <c r="H62" s="90">
        <v>20000</v>
      </c>
      <c r="I62" s="92">
        <f t="shared" si="3"/>
        <v>373100</v>
      </c>
      <c r="K62" s="145">
        <v>633083</v>
      </c>
      <c r="L62" s="61">
        <f t="shared" si="4"/>
        <v>1006183</v>
      </c>
      <c r="M62" s="36"/>
      <c r="N62" s="36"/>
    </row>
    <row r="63" spans="1:14" x14ac:dyDescent="0.25">
      <c r="A63" s="9">
        <v>2020</v>
      </c>
      <c r="B63" s="90">
        <v>23000</v>
      </c>
      <c r="C63" s="90">
        <v>45000</v>
      </c>
      <c r="D63" s="90">
        <v>27000</v>
      </c>
      <c r="E63" s="90">
        <v>48000</v>
      </c>
      <c r="F63" s="90">
        <v>90000</v>
      </c>
      <c r="G63" s="90">
        <v>95000</v>
      </c>
      <c r="H63" s="90">
        <v>67500</v>
      </c>
      <c r="I63" s="92">
        <f t="shared" si="3"/>
        <v>395500</v>
      </c>
      <c r="K63" s="145">
        <v>71285</v>
      </c>
      <c r="L63" s="61">
        <f t="shared" si="4"/>
        <v>466785</v>
      </c>
      <c r="M63" s="36"/>
      <c r="N63" s="36"/>
    </row>
    <row r="64" spans="1:14" x14ac:dyDescent="0.25">
      <c r="A64" s="9">
        <v>2021</v>
      </c>
      <c r="B64" s="90">
        <v>60000</v>
      </c>
      <c r="C64" s="90">
        <v>22000</v>
      </c>
      <c r="D64" s="90">
        <v>116000</v>
      </c>
      <c r="E64" s="90">
        <v>27000</v>
      </c>
      <c r="F64" s="90">
        <v>131000</v>
      </c>
      <c r="G64" s="90">
        <v>72000</v>
      </c>
      <c r="H64" s="90">
        <v>25000</v>
      </c>
      <c r="I64" s="92">
        <f>SUM(B64:H64)</f>
        <v>453000</v>
      </c>
      <c r="K64" s="145">
        <v>1243786</v>
      </c>
      <c r="L64" s="61">
        <f t="shared" si="4"/>
        <v>1696786</v>
      </c>
      <c r="M64" s="36"/>
      <c r="N64" s="36"/>
    </row>
    <row r="65" spans="1:14" x14ac:dyDescent="0.25">
      <c r="A65" s="9">
        <v>2022</v>
      </c>
      <c r="B65" s="90">
        <v>21000</v>
      </c>
      <c r="C65" s="90">
        <v>17000</v>
      </c>
      <c r="D65" s="90">
        <v>47000</v>
      </c>
      <c r="E65" s="90">
        <v>28000</v>
      </c>
      <c r="F65" s="90">
        <v>65000</v>
      </c>
      <c r="G65" s="90">
        <v>36000</v>
      </c>
      <c r="H65" s="90">
        <v>24000</v>
      </c>
      <c r="I65" s="92">
        <f>SUM(B65:H65)</f>
        <v>238000</v>
      </c>
      <c r="K65" s="145">
        <v>192569</v>
      </c>
      <c r="L65" s="61">
        <f t="shared" si="4"/>
        <v>430569</v>
      </c>
      <c r="M65" s="36"/>
      <c r="N65" s="36"/>
    </row>
    <row r="66" spans="1:14" x14ac:dyDescent="0.25">
      <c r="A66" s="9">
        <v>2023</v>
      </c>
      <c r="B66" s="90">
        <v>60000</v>
      </c>
      <c r="C66" s="90">
        <v>104000</v>
      </c>
      <c r="D66" s="90">
        <v>120000</v>
      </c>
      <c r="E66" s="90">
        <v>33000</v>
      </c>
      <c r="F66" s="90">
        <v>80000</v>
      </c>
      <c r="G66" s="90">
        <v>62000</v>
      </c>
      <c r="H66" s="90">
        <v>41000</v>
      </c>
      <c r="I66" s="92">
        <f>SUM(B66:H66)</f>
        <v>500000</v>
      </c>
      <c r="K66" s="145">
        <v>423252</v>
      </c>
      <c r="L66" s="61">
        <f t="shared" si="4"/>
        <v>923252</v>
      </c>
      <c r="M66" s="36"/>
      <c r="N66" s="36"/>
    </row>
    <row r="67" spans="1:14" x14ac:dyDescent="0.25">
      <c r="A67" s="9">
        <v>2024</v>
      </c>
      <c r="B67" s="191">
        <v>50000</v>
      </c>
      <c r="C67" s="191">
        <v>80000</v>
      </c>
      <c r="D67" s="191">
        <v>123000</v>
      </c>
      <c r="E67" s="191">
        <v>50000</v>
      </c>
      <c r="F67" s="191">
        <v>82000</v>
      </c>
      <c r="G67" s="191">
        <v>75000</v>
      </c>
      <c r="H67" s="191">
        <v>39000</v>
      </c>
      <c r="I67" s="92">
        <f>SUM(B67:H67)</f>
        <v>499000</v>
      </c>
      <c r="K67" s="145">
        <v>461022</v>
      </c>
      <c r="L67" s="61">
        <f t="shared" si="4"/>
        <v>960022</v>
      </c>
      <c r="M67" s="36"/>
      <c r="N67" s="36"/>
    </row>
    <row r="68" spans="1:14" ht="13.8" x14ac:dyDescent="0.25">
      <c r="A68" s="66" t="s">
        <v>108</v>
      </c>
      <c r="B68" s="128">
        <f t="shared" ref="B68:H68" si="5">AVERAGE(B3:B67)</f>
        <v>36545.569560760581</v>
      </c>
      <c r="C68" s="128">
        <f t="shared" si="5"/>
        <v>48741.830761149351</v>
      </c>
      <c r="D68" s="128">
        <f t="shared" si="5"/>
        <v>57568.775799087627</v>
      </c>
      <c r="E68" s="128">
        <f t="shared" si="5"/>
        <v>18758.874234065363</v>
      </c>
      <c r="F68" s="128">
        <f t="shared" si="5"/>
        <v>52556.03910453037</v>
      </c>
      <c r="G68" s="128">
        <f t="shared" si="5"/>
        <v>34141.349851907376</v>
      </c>
      <c r="H68" s="128">
        <f t="shared" si="5"/>
        <v>20275.408741482584</v>
      </c>
      <c r="I68" s="128">
        <f>AVERAGE(I3:I66)</f>
        <v>264987.65817881114</v>
      </c>
      <c r="J68" s="128"/>
      <c r="K68" s="128">
        <f>AVERAGE(K3:K67)</f>
        <v>421562.23076923075</v>
      </c>
      <c r="L68" s="33"/>
      <c r="M68" s="36"/>
      <c r="N68" s="36"/>
    </row>
    <row r="69" spans="1:14" ht="13.8" x14ac:dyDescent="0.25">
      <c r="A69" s="22" t="s">
        <v>360</v>
      </c>
      <c r="B69" s="92">
        <f>AVERAGE(B57:B66)</f>
        <v>62120</v>
      </c>
      <c r="C69" s="92">
        <f t="shared" ref="C69:L69" si="6">AVERAGE(C57:C66)</f>
        <v>78500</v>
      </c>
      <c r="D69" s="92">
        <f t="shared" si="6"/>
        <v>72600</v>
      </c>
      <c r="E69" s="92">
        <f t="shared" si="6"/>
        <v>38210</v>
      </c>
      <c r="F69" s="92">
        <f t="shared" si="6"/>
        <v>87200</v>
      </c>
      <c r="G69" s="92">
        <f t="shared" si="6"/>
        <v>84300</v>
      </c>
      <c r="H69" s="92">
        <f t="shared" si="6"/>
        <v>50550</v>
      </c>
      <c r="I69" s="92">
        <f t="shared" si="6"/>
        <v>473480</v>
      </c>
      <c r="J69" s="92"/>
      <c r="K69" s="92">
        <f>AVERAGE(K57:K66)</f>
        <v>913845.3</v>
      </c>
      <c r="L69" s="92">
        <f t="shared" si="6"/>
        <v>1387325.3</v>
      </c>
    </row>
    <row r="70" spans="1:14" ht="13.8" x14ac:dyDescent="0.25">
      <c r="A70" s="22" t="s">
        <v>361</v>
      </c>
      <c r="B70" s="96">
        <f>RANK(B67,B3:B67)</f>
        <v>14</v>
      </c>
      <c r="C70" s="96">
        <f t="shared" ref="C70:K70" si="7">RANK(C67,C3:C67)</f>
        <v>14</v>
      </c>
      <c r="D70" s="96">
        <f t="shared" si="7"/>
        <v>8</v>
      </c>
      <c r="E70" s="96">
        <f t="shared" si="7"/>
        <v>5</v>
      </c>
      <c r="F70" s="96">
        <f t="shared" si="7"/>
        <v>11</v>
      </c>
      <c r="G70" s="96">
        <f t="shared" si="7"/>
        <v>9</v>
      </c>
      <c r="H70" s="96">
        <f t="shared" si="7"/>
        <v>12</v>
      </c>
      <c r="I70" s="96">
        <f t="shared" si="7"/>
        <v>11</v>
      </c>
      <c r="J70" s="96"/>
      <c r="K70" s="96">
        <f t="shared" si="7"/>
        <v>19</v>
      </c>
      <c r="L70" s="14"/>
    </row>
    <row r="71" spans="1:14" ht="14.4" thickBot="1" x14ac:dyDescent="0.3">
      <c r="A71" s="23" t="s">
        <v>362</v>
      </c>
      <c r="B71" s="129">
        <f>B67/B69</f>
        <v>0.80489375402446872</v>
      </c>
      <c r="C71" s="129">
        <f t="shared" ref="C71:K71" si="8">C67/C69</f>
        <v>1.0191082802547771</v>
      </c>
      <c r="D71" s="129">
        <f t="shared" si="8"/>
        <v>1.6942148760330578</v>
      </c>
      <c r="E71" s="129">
        <f t="shared" si="8"/>
        <v>1.308557969118032</v>
      </c>
      <c r="F71" s="129">
        <f t="shared" si="8"/>
        <v>0.94036697247706424</v>
      </c>
      <c r="G71" s="129">
        <f t="shared" si="8"/>
        <v>0.88967971530249113</v>
      </c>
      <c r="H71" s="129">
        <f t="shared" si="8"/>
        <v>0.771513353115727</v>
      </c>
      <c r="I71" s="129">
        <f t="shared" si="8"/>
        <v>1.0538987919236293</v>
      </c>
      <c r="J71" s="129"/>
      <c r="K71" s="129">
        <f t="shared" si="8"/>
        <v>0.50448582489837168</v>
      </c>
      <c r="L71" s="49"/>
    </row>
    <row r="72" spans="1:14" x14ac:dyDescent="0.25">
      <c r="G72" s="195" t="s">
        <v>289</v>
      </c>
      <c r="H72" s="196"/>
    </row>
    <row r="73" spans="1:14" ht="13.8" thickBot="1" x14ac:dyDescent="0.3">
      <c r="G73" s="50">
        <v>210000</v>
      </c>
      <c r="H73" s="51">
        <v>480000</v>
      </c>
    </row>
    <row r="74" spans="1:14" ht="13.8" thickBot="1" x14ac:dyDescent="0.3">
      <c r="G74" s="175">
        <v>160000</v>
      </c>
      <c r="H74" s="176">
        <v>520000</v>
      </c>
    </row>
    <row r="75" spans="1:14" ht="13.8" x14ac:dyDescent="0.25">
      <c r="A75" s="158" t="s">
        <v>344</v>
      </c>
    </row>
    <row r="76" spans="1:14" ht="13.8" x14ac:dyDescent="0.25">
      <c r="A76" s="159" t="s">
        <v>345</v>
      </c>
    </row>
    <row r="77" spans="1:14" ht="13.8" x14ac:dyDescent="0.25">
      <c r="A77" s="160" t="s">
        <v>346</v>
      </c>
    </row>
    <row r="78" spans="1:14" x14ac:dyDescent="0.25">
      <c r="A78" s="179" t="s">
        <v>355</v>
      </c>
    </row>
  </sheetData>
  <mergeCells count="1">
    <mergeCell ref="G72:H72"/>
  </mergeCells>
  <phoneticPr fontId="10" type="noConversion"/>
  <pageMargins left="0.36" right="0.44" top="1" bottom="1" header="0.5" footer="0.5"/>
  <pageSetup scale="69" orientation="portrait" r:id="rId1"/>
  <headerFooter alignWithMargins="0">
    <oddFooter>&amp;A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rgb="FF92D050"/>
    <pageSetUpPr fitToPage="1"/>
  </sheetPr>
  <dimension ref="A1:L77"/>
  <sheetViews>
    <sheetView zoomScaleNormal="100" workbookViewId="0">
      <pane xSplit="1" ySplit="2" topLeftCell="B46" activePane="bottomRight" state="frozen"/>
      <selection pane="topRight" activeCell="B1" sqref="B1"/>
      <selection pane="bottomLeft" activeCell="A3" sqref="A3"/>
      <selection pane="bottomRight" activeCell="E67" sqref="E67"/>
    </sheetView>
  </sheetViews>
  <sheetFormatPr defaultRowHeight="13.2" x14ac:dyDescent="0.25"/>
  <cols>
    <col min="1" max="1" width="22.5546875" bestFit="1" customWidth="1"/>
    <col min="2" max="2" width="20.6640625" bestFit="1" customWidth="1"/>
    <col min="3" max="3" width="20.44140625" bestFit="1" customWidth="1"/>
    <col min="4" max="4" width="10.88671875" bestFit="1" customWidth="1"/>
    <col min="6" max="6" width="3.44140625" customWidth="1"/>
    <col min="7" max="7" width="9.33203125" bestFit="1" customWidth="1"/>
    <col min="8" max="8" width="10.44140625" bestFit="1" customWidth="1"/>
    <col min="9" max="9" width="11.44140625" bestFit="1" customWidth="1"/>
  </cols>
  <sheetData>
    <row r="1" spans="1:8" s="14" customFormat="1" x14ac:dyDescent="0.25">
      <c r="B1" s="38" t="s">
        <v>55</v>
      </c>
      <c r="C1" s="38" t="s">
        <v>56</v>
      </c>
      <c r="D1" s="38" t="s">
        <v>57</v>
      </c>
      <c r="F1" s="80"/>
    </row>
    <row r="2" spans="1:8" s="14" customFormat="1" x14ac:dyDescent="0.25">
      <c r="B2" s="14" t="s">
        <v>58</v>
      </c>
      <c r="C2" s="15" t="s">
        <v>59</v>
      </c>
      <c r="D2" s="14" t="s">
        <v>60</v>
      </c>
      <c r="E2" s="14" t="s">
        <v>4</v>
      </c>
      <c r="F2" s="80"/>
      <c r="G2" s="14" t="s">
        <v>140</v>
      </c>
      <c r="H2" s="14" t="s">
        <v>359</v>
      </c>
    </row>
    <row r="3" spans="1:8" x14ac:dyDescent="0.25">
      <c r="A3" s="6">
        <v>1960</v>
      </c>
      <c r="B3" s="2">
        <v>200</v>
      </c>
      <c r="C3" s="1">
        <v>3898.7395669871239</v>
      </c>
      <c r="D3" s="2">
        <v>10000</v>
      </c>
      <c r="E3" s="10">
        <f>SUM(B3:D3)</f>
        <v>14098.739566987124</v>
      </c>
      <c r="F3" s="81"/>
      <c r="G3" s="10">
        <v>2730</v>
      </c>
    </row>
    <row r="4" spans="1:8" x14ac:dyDescent="0.25">
      <c r="A4" s="6">
        <v>1961</v>
      </c>
      <c r="B4" s="2">
        <v>2000</v>
      </c>
      <c r="C4" s="2">
        <v>8000</v>
      </c>
      <c r="D4" s="2">
        <v>41000</v>
      </c>
      <c r="E4" s="10">
        <f t="shared" ref="E4:E57" si="0">SUM(B4:D4)</f>
        <v>51000</v>
      </c>
      <c r="F4" s="81"/>
      <c r="G4" s="10">
        <v>42706</v>
      </c>
    </row>
    <row r="5" spans="1:8" x14ac:dyDescent="0.25">
      <c r="A5" s="6">
        <v>1962</v>
      </c>
      <c r="B5" s="2">
        <v>12000</v>
      </c>
      <c r="C5" s="2">
        <v>100</v>
      </c>
      <c r="D5" s="2">
        <v>10200</v>
      </c>
      <c r="E5" s="10">
        <f t="shared" si="0"/>
        <v>22300</v>
      </c>
      <c r="F5" s="81"/>
      <c r="G5" s="10">
        <v>19082</v>
      </c>
    </row>
    <row r="6" spans="1:8" x14ac:dyDescent="0.25">
      <c r="A6" s="6">
        <v>1963</v>
      </c>
      <c r="B6" s="2">
        <v>6000</v>
      </c>
      <c r="C6" s="2">
        <v>10000</v>
      </c>
      <c r="D6" s="2">
        <v>61000</v>
      </c>
      <c r="E6" s="10">
        <f t="shared" si="0"/>
        <v>77000</v>
      </c>
      <c r="F6" s="81"/>
      <c r="G6" s="10">
        <v>1337</v>
      </c>
    </row>
    <row r="7" spans="1:8" x14ac:dyDescent="0.25">
      <c r="A7" s="6">
        <v>1964</v>
      </c>
      <c r="B7" s="2">
        <v>5000</v>
      </c>
      <c r="C7" s="2">
        <v>500</v>
      </c>
      <c r="D7" s="2">
        <v>6000</v>
      </c>
      <c r="E7" s="10">
        <f t="shared" si="0"/>
        <v>11500</v>
      </c>
      <c r="F7" s="81"/>
      <c r="G7" s="10">
        <v>1050</v>
      </c>
    </row>
    <row r="8" spans="1:8" x14ac:dyDescent="0.25">
      <c r="A8" s="6">
        <v>1965</v>
      </c>
      <c r="B8" s="1">
        <v>3087.1156238943745</v>
      </c>
      <c r="C8" s="2">
        <v>4000</v>
      </c>
      <c r="D8" s="2">
        <v>7000</v>
      </c>
      <c r="E8" s="10">
        <f t="shared" si="0"/>
        <v>14087.115623894375</v>
      </c>
      <c r="F8" s="81"/>
      <c r="G8" s="10">
        <v>13808</v>
      </c>
    </row>
    <row r="9" spans="1:8" x14ac:dyDescent="0.25">
      <c r="A9" s="6">
        <v>1966</v>
      </c>
      <c r="B9" s="1">
        <v>2110.184823948895</v>
      </c>
      <c r="C9" s="1">
        <v>2662.7697410757387</v>
      </c>
      <c r="D9" s="1">
        <v>4856.2336726180411</v>
      </c>
      <c r="E9" s="10">
        <f t="shared" si="0"/>
        <v>9629.1882376426747</v>
      </c>
      <c r="F9" s="81"/>
      <c r="G9" s="1">
        <v>347</v>
      </c>
    </row>
    <row r="10" spans="1:8" x14ac:dyDescent="0.25">
      <c r="A10" s="6">
        <v>1967</v>
      </c>
      <c r="B10" s="1">
        <v>2054.9286126823126</v>
      </c>
      <c r="C10" s="1">
        <v>2593.0438261969543</v>
      </c>
      <c r="D10" s="1">
        <v>4729.0708426536457</v>
      </c>
      <c r="E10" s="10">
        <f t="shared" si="0"/>
        <v>9377.0432815329132</v>
      </c>
      <c r="F10" s="81"/>
      <c r="G10" s="1">
        <v>3197</v>
      </c>
    </row>
    <row r="11" spans="1:8" x14ac:dyDescent="0.25">
      <c r="A11" s="6">
        <v>1968</v>
      </c>
      <c r="B11" s="1">
        <v>336.77624988776398</v>
      </c>
      <c r="C11" s="2">
        <v>200</v>
      </c>
      <c r="D11" s="2">
        <v>1000</v>
      </c>
      <c r="E11" s="10">
        <f t="shared" si="0"/>
        <v>1536.7762498877639</v>
      </c>
      <c r="F11" s="81"/>
      <c r="G11" s="10">
        <v>12</v>
      </c>
    </row>
    <row r="12" spans="1:8" x14ac:dyDescent="0.25">
      <c r="A12" s="6">
        <v>1969</v>
      </c>
      <c r="B12" s="1">
        <v>2890.662812139657</v>
      </c>
      <c r="C12" s="2">
        <v>300</v>
      </c>
      <c r="D12" s="2">
        <v>10000</v>
      </c>
      <c r="E12" s="10">
        <f t="shared" si="0"/>
        <v>13190.662812139657</v>
      </c>
      <c r="F12" s="81"/>
      <c r="G12" s="10">
        <v>75</v>
      </c>
    </row>
    <row r="13" spans="1:8" x14ac:dyDescent="0.25">
      <c r="A13" s="6">
        <v>1970</v>
      </c>
      <c r="B13" s="1">
        <v>701.6171874478614</v>
      </c>
      <c r="C13" s="2">
        <v>500</v>
      </c>
      <c r="D13" s="2">
        <v>2000</v>
      </c>
      <c r="E13" s="10">
        <f t="shared" si="0"/>
        <v>3201.6171874478614</v>
      </c>
      <c r="F13" s="81"/>
      <c r="G13" s="10">
        <v>0</v>
      </c>
    </row>
    <row r="14" spans="1:8" x14ac:dyDescent="0.25">
      <c r="A14" s="6">
        <v>1971</v>
      </c>
      <c r="B14" s="1">
        <v>364.84093748241094</v>
      </c>
      <c r="C14" s="2">
        <v>300</v>
      </c>
      <c r="D14" s="2">
        <v>1000</v>
      </c>
      <c r="E14" s="10">
        <f t="shared" si="0"/>
        <v>1664.8409374824109</v>
      </c>
      <c r="F14" s="81"/>
      <c r="G14" s="10">
        <v>0</v>
      </c>
    </row>
    <row r="15" spans="1:8" x14ac:dyDescent="0.25">
      <c r="A15" s="6">
        <v>1972</v>
      </c>
      <c r="B15" s="1">
        <v>237.74299155358287</v>
      </c>
      <c r="C15" s="2">
        <v>300</v>
      </c>
      <c r="D15" s="1">
        <v>547.1255969034803</v>
      </c>
      <c r="E15" s="10">
        <f t="shared" si="0"/>
        <v>1084.8685884570632</v>
      </c>
      <c r="F15" s="81"/>
      <c r="G15" s="10">
        <v>0</v>
      </c>
    </row>
    <row r="16" spans="1:8" x14ac:dyDescent="0.25">
      <c r="A16" s="6">
        <v>1973</v>
      </c>
      <c r="B16" s="2">
        <v>700</v>
      </c>
      <c r="C16" s="2">
        <v>6000</v>
      </c>
      <c r="D16" s="2">
        <v>7000</v>
      </c>
      <c r="E16" s="10">
        <f t="shared" si="0"/>
        <v>13700</v>
      </c>
      <c r="F16" s="81"/>
      <c r="G16" s="10">
        <v>5543</v>
      </c>
    </row>
    <row r="17" spans="1:7" x14ac:dyDescent="0.25">
      <c r="A17" s="6">
        <v>1974</v>
      </c>
      <c r="B17" s="1">
        <v>950.97209256656311</v>
      </c>
      <c r="C17" s="2">
        <v>1200</v>
      </c>
      <c r="D17" s="1">
        <v>2188.5025223610805</v>
      </c>
      <c r="E17" s="10">
        <f t="shared" si="0"/>
        <v>4339.4746149276434</v>
      </c>
      <c r="F17" s="81"/>
      <c r="G17" s="10">
        <v>0</v>
      </c>
    </row>
    <row r="18" spans="1:7" x14ac:dyDescent="0.25">
      <c r="A18" s="6">
        <v>1975</v>
      </c>
      <c r="B18" s="1">
        <v>3087.1156502762842</v>
      </c>
      <c r="C18" s="2">
        <v>5000</v>
      </c>
      <c r="D18" s="2">
        <v>6000</v>
      </c>
      <c r="E18" s="10">
        <f t="shared" si="0"/>
        <v>14087.115650276284</v>
      </c>
      <c r="F18" s="81"/>
      <c r="G18" s="10">
        <v>0</v>
      </c>
    </row>
    <row r="19" spans="1:7" x14ac:dyDescent="0.25">
      <c r="A19" s="6">
        <v>1976</v>
      </c>
      <c r="B19" s="1">
        <v>2172.6557949229077</v>
      </c>
      <c r="C19" s="1">
        <v>2741.599700433952</v>
      </c>
      <c r="D19" s="2">
        <v>5000</v>
      </c>
      <c r="E19" s="10">
        <f t="shared" si="0"/>
        <v>9914.2554953568597</v>
      </c>
      <c r="F19" s="81"/>
      <c r="G19" s="10">
        <v>0</v>
      </c>
    </row>
    <row r="20" spans="1:7" x14ac:dyDescent="0.25">
      <c r="A20" s="6">
        <v>1977</v>
      </c>
      <c r="B20" s="1">
        <v>3367.762527142781</v>
      </c>
      <c r="C20" s="2">
        <v>6000</v>
      </c>
      <c r="D20" s="2">
        <v>6000</v>
      </c>
      <c r="E20" s="10">
        <f t="shared" si="0"/>
        <v>15367.762527142781</v>
      </c>
      <c r="F20" s="81"/>
      <c r="G20" s="10">
        <v>0</v>
      </c>
    </row>
    <row r="21" spans="1:7" x14ac:dyDescent="0.25">
      <c r="A21" s="6">
        <v>1978</v>
      </c>
      <c r="B21" s="1">
        <v>1683.8812635869238</v>
      </c>
      <c r="C21" s="2">
        <v>3000</v>
      </c>
      <c r="D21" s="2">
        <v>3000</v>
      </c>
      <c r="E21" s="10">
        <f t="shared" si="0"/>
        <v>7683.8812635869235</v>
      </c>
      <c r="F21" s="81"/>
      <c r="G21" s="10">
        <v>0</v>
      </c>
    </row>
    <row r="22" spans="1:7" x14ac:dyDescent="0.25">
      <c r="A22" s="6">
        <v>1979</v>
      </c>
      <c r="B22" s="1">
        <v>37887.328436713186</v>
      </c>
      <c r="C22" s="2">
        <v>30000</v>
      </c>
      <c r="D22" s="2">
        <v>105000</v>
      </c>
      <c r="E22" s="10">
        <f t="shared" si="0"/>
        <v>172887.3284367132</v>
      </c>
      <c r="F22" s="81"/>
      <c r="G22" s="10">
        <v>3177</v>
      </c>
    </row>
    <row r="23" spans="1:7" x14ac:dyDescent="0.25">
      <c r="A23" s="6">
        <v>1980</v>
      </c>
      <c r="B23" s="1">
        <v>1285.9239918366247</v>
      </c>
      <c r="C23" s="2">
        <v>2765</v>
      </c>
      <c r="D23" s="2">
        <v>1817</v>
      </c>
      <c r="E23" s="10">
        <f t="shared" si="0"/>
        <v>5867.9239918366247</v>
      </c>
      <c r="F23" s="81"/>
      <c r="G23" s="10">
        <v>0</v>
      </c>
    </row>
    <row r="24" spans="1:7" x14ac:dyDescent="0.25">
      <c r="A24" s="6">
        <v>1981</v>
      </c>
      <c r="B24" s="2">
        <v>15800</v>
      </c>
      <c r="C24" s="2">
        <v>2370</v>
      </c>
      <c r="D24" s="2">
        <v>67150</v>
      </c>
      <c r="E24" s="10">
        <f t="shared" si="0"/>
        <v>85320</v>
      </c>
      <c r="F24" s="81"/>
      <c r="G24" s="10">
        <v>4143</v>
      </c>
    </row>
    <row r="25" spans="1:7" x14ac:dyDescent="0.25">
      <c r="A25" s="6">
        <v>1982</v>
      </c>
      <c r="B25" s="1">
        <v>3813.4297689532286</v>
      </c>
      <c r="C25" s="2">
        <v>3318</v>
      </c>
      <c r="D25" s="2">
        <v>10270</v>
      </c>
      <c r="E25" s="10">
        <f t="shared" si="0"/>
        <v>17401.429768953229</v>
      </c>
      <c r="F25" s="81"/>
      <c r="G25" s="10">
        <v>0</v>
      </c>
    </row>
    <row r="26" spans="1:7" x14ac:dyDescent="0.25">
      <c r="A26" s="6">
        <v>1983</v>
      </c>
      <c r="B26" s="2">
        <v>7900</v>
      </c>
      <c r="C26" s="2">
        <v>18960</v>
      </c>
      <c r="D26" s="2">
        <v>83740</v>
      </c>
      <c r="E26" s="10">
        <f t="shared" si="0"/>
        <v>110600</v>
      </c>
      <c r="F26" s="81"/>
      <c r="G26" s="10">
        <v>13415</v>
      </c>
    </row>
    <row r="27" spans="1:7" x14ac:dyDescent="0.25">
      <c r="A27" s="6">
        <v>1984</v>
      </c>
      <c r="B27" s="2">
        <v>1975</v>
      </c>
      <c r="C27" s="2">
        <v>5530</v>
      </c>
      <c r="D27" s="2">
        <v>8690</v>
      </c>
      <c r="E27" s="10">
        <f t="shared" si="0"/>
        <v>16195</v>
      </c>
      <c r="F27" s="81"/>
      <c r="G27" s="10">
        <v>0</v>
      </c>
    </row>
    <row r="28" spans="1:7" x14ac:dyDescent="0.25">
      <c r="A28" s="6">
        <v>1985</v>
      </c>
      <c r="B28" s="2">
        <v>18170</v>
      </c>
      <c r="C28" s="2">
        <v>17380</v>
      </c>
      <c r="D28" s="2">
        <v>31600</v>
      </c>
      <c r="E28" s="10">
        <f t="shared" si="0"/>
        <v>67150</v>
      </c>
      <c r="F28" s="81"/>
      <c r="G28" s="10">
        <v>32389</v>
      </c>
    </row>
    <row r="29" spans="1:7" x14ac:dyDescent="0.25">
      <c r="A29" s="6">
        <v>1986</v>
      </c>
      <c r="B29" s="2">
        <v>3950</v>
      </c>
      <c r="C29" s="2">
        <v>3160</v>
      </c>
      <c r="D29" s="2">
        <v>3950</v>
      </c>
      <c r="E29" s="10">
        <f t="shared" si="0"/>
        <v>11060</v>
      </c>
      <c r="F29" s="81"/>
      <c r="G29" s="10">
        <v>70</v>
      </c>
    </row>
    <row r="30" spans="1:7" x14ac:dyDescent="0.25">
      <c r="A30" s="6">
        <v>1987</v>
      </c>
      <c r="B30" s="2">
        <v>7900</v>
      </c>
      <c r="C30" s="2">
        <v>3160</v>
      </c>
      <c r="D30" s="2">
        <v>16590</v>
      </c>
      <c r="E30" s="10">
        <f t="shared" si="0"/>
        <v>27650</v>
      </c>
      <c r="F30" s="81"/>
      <c r="G30" s="10">
        <v>274</v>
      </c>
    </row>
    <row r="31" spans="1:7" x14ac:dyDescent="0.25">
      <c r="A31" s="6">
        <v>1988</v>
      </c>
      <c r="B31" s="2">
        <v>2370</v>
      </c>
      <c r="C31" s="1">
        <v>1509.8060085188756</v>
      </c>
      <c r="D31" s="2">
        <v>1580</v>
      </c>
      <c r="E31" s="10">
        <f t="shared" si="0"/>
        <v>5459.8060085188754</v>
      </c>
      <c r="F31" s="81"/>
      <c r="G31" s="10">
        <v>13</v>
      </c>
    </row>
    <row r="32" spans="1:7" x14ac:dyDescent="0.25">
      <c r="A32" s="6">
        <v>1989</v>
      </c>
      <c r="B32" s="2">
        <v>8690</v>
      </c>
      <c r="C32" s="2">
        <v>15010</v>
      </c>
      <c r="D32" s="2">
        <v>18960</v>
      </c>
      <c r="E32" s="10">
        <f t="shared" si="0"/>
        <v>42660</v>
      </c>
      <c r="F32" s="81"/>
      <c r="G32" s="10">
        <v>0</v>
      </c>
    </row>
    <row r="33" spans="1:7" x14ac:dyDescent="0.25">
      <c r="A33" s="6">
        <v>1990</v>
      </c>
      <c r="B33" s="2">
        <v>1580</v>
      </c>
      <c r="C33" s="2">
        <v>3950</v>
      </c>
      <c r="D33" s="2">
        <v>237</v>
      </c>
      <c r="E33" s="10">
        <f t="shared" si="0"/>
        <v>5767</v>
      </c>
      <c r="F33" s="81"/>
      <c r="G33" s="10">
        <v>0</v>
      </c>
    </row>
    <row r="34" spans="1:7" x14ac:dyDescent="0.25">
      <c r="A34" s="6">
        <v>1991</v>
      </c>
      <c r="B34" s="2">
        <v>3950</v>
      </c>
      <c r="C34" s="2">
        <v>8690</v>
      </c>
      <c r="D34" s="2">
        <v>7110</v>
      </c>
      <c r="E34" s="10">
        <f t="shared" si="0"/>
        <v>19750</v>
      </c>
      <c r="F34" s="81"/>
      <c r="G34" s="10">
        <v>0</v>
      </c>
    </row>
    <row r="35" spans="1:7" x14ac:dyDescent="0.25">
      <c r="A35" s="6">
        <v>1992</v>
      </c>
      <c r="B35" s="2">
        <v>5500</v>
      </c>
      <c r="C35" s="2">
        <v>5000</v>
      </c>
      <c r="D35" s="2">
        <v>10000</v>
      </c>
      <c r="E35" s="10">
        <f t="shared" si="0"/>
        <v>20500</v>
      </c>
      <c r="F35" s="81"/>
      <c r="G35" s="10">
        <v>0</v>
      </c>
    </row>
    <row r="36" spans="1:7" x14ac:dyDescent="0.25">
      <c r="A36" s="6">
        <v>1993</v>
      </c>
      <c r="B36" s="1">
        <v>1206.7815724593456</v>
      </c>
      <c r="C36" s="2">
        <v>700</v>
      </c>
      <c r="D36" s="2">
        <v>3600</v>
      </c>
      <c r="E36" s="10">
        <f t="shared" si="0"/>
        <v>5506.7815724593456</v>
      </c>
      <c r="F36" s="81"/>
      <c r="G36" s="10">
        <v>0</v>
      </c>
    </row>
    <row r="37" spans="1:7" x14ac:dyDescent="0.25">
      <c r="A37" s="6">
        <v>1994</v>
      </c>
      <c r="B37" s="2">
        <v>11850</v>
      </c>
      <c r="C37" s="2">
        <v>31600</v>
      </c>
      <c r="D37" s="2">
        <v>7000</v>
      </c>
      <c r="E37" s="10">
        <f t="shared" si="0"/>
        <v>50450</v>
      </c>
      <c r="F37" s="81"/>
      <c r="G37" s="10">
        <v>0</v>
      </c>
    </row>
    <row r="38" spans="1:7" x14ac:dyDescent="0.25">
      <c r="A38" s="6">
        <v>1995</v>
      </c>
      <c r="B38" s="2">
        <v>25000</v>
      </c>
      <c r="C38" s="2">
        <v>44000</v>
      </c>
      <c r="D38" s="2">
        <v>18000</v>
      </c>
      <c r="E38" s="10">
        <f t="shared" si="0"/>
        <v>87000</v>
      </c>
      <c r="F38" s="81"/>
      <c r="G38" s="10">
        <v>0</v>
      </c>
    </row>
    <row r="39" spans="1:7" x14ac:dyDescent="0.25">
      <c r="A39" s="6">
        <v>1996</v>
      </c>
      <c r="B39" s="1">
        <v>17400.106394654558</v>
      </c>
      <c r="C39" s="2">
        <v>34000</v>
      </c>
      <c r="D39" s="2">
        <v>28000</v>
      </c>
      <c r="E39" s="10">
        <f t="shared" si="0"/>
        <v>79400.106394654562</v>
      </c>
      <c r="F39" s="81"/>
      <c r="G39" s="10">
        <v>0</v>
      </c>
    </row>
    <row r="40" spans="1:7" x14ac:dyDescent="0.25">
      <c r="A40" s="6">
        <v>1997</v>
      </c>
      <c r="B40" s="2">
        <v>85000</v>
      </c>
      <c r="C40" s="2">
        <v>103000</v>
      </c>
      <c r="D40" s="2">
        <v>102000</v>
      </c>
      <c r="E40" s="10">
        <f t="shared" si="0"/>
        <v>290000</v>
      </c>
      <c r="F40" s="81"/>
      <c r="G40" s="10">
        <v>0</v>
      </c>
    </row>
    <row r="41" spans="1:7" x14ac:dyDescent="0.25">
      <c r="A41" s="7">
        <v>1998</v>
      </c>
      <c r="B41" s="3">
        <v>15000</v>
      </c>
      <c r="C41" s="3">
        <v>17000</v>
      </c>
      <c r="D41" s="3">
        <v>24000</v>
      </c>
      <c r="E41" s="10">
        <f t="shared" si="0"/>
        <v>56000</v>
      </c>
      <c r="F41" s="81"/>
      <c r="G41" s="10">
        <v>0</v>
      </c>
    </row>
    <row r="42" spans="1:7" x14ac:dyDescent="0.25">
      <c r="A42" s="8">
        <v>1999</v>
      </c>
      <c r="B42" s="3">
        <v>40000</v>
      </c>
      <c r="C42" s="3">
        <v>70000</v>
      </c>
      <c r="D42" s="3">
        <v>180000</v>
      </c>
      <c r="E42" s="10">
        <f t="shared" si="0"/>
        <v>290000</v>
      </c>
      <c r="F42" s="81"/>
      <c r="G42" s="10">
        <v>0</v>
      </c>
    </row>
    <row r="43" spans="1:7" x14ac:dyDescent="0.25">
      <c r="A43" s="8">
        <v>2000</v>
      </c>
      <c r="B43" s="3">
        <v>41000</v>
      </c>
      <c r="C43" s="3">
        <v>38000</v>
      </c>
      <c r="D43" s="3">
        <v>48000</v>
      </c>
      <c r="E43" s="10">
        <f t="shared" si="0"/>
        <v>127000</v>
      </c>
      <c r="F43" s="81"/>
      <c r="G43" s="10">
        <v>170</v>
      </c>
    </row>
    <row r="44" spans="1:7" x14ac:dyDescent="0.25">
      <c r="A44" s="8">
        <v>2001</v>
      </c>
      <c r="B44" s="3">
        <v>50000</v>
      </c>
      <c r="C44" s="3">
        <v>25000</v>
      </c>
      <c r="D44" s="3">
        <v>90000</v>
      </c>
      <c r="E44" s="10">
        <f t="shared" si="0"/>
        <v>165000</v>
      </c>
      <c r="F44" s="81"/>
      <c r="G44" s="10">
        <v>0</v>
      </c>
    </row>
    <row r="45" spans="1:7" x14ac:dyDescent="0.25">
      <c r="A45" s="9">
        <v>2002</v>
      </c>
      <c r="B45" s="1">
        <v>18715.690807374653</v>
      </c>
      <c r="C45" s="5">
        <v>30250</v>
      </c>
      <c r="D45" s="5">
        <v>71390</v>
      </c>
      <c r="E45" s="10">
        <f t="shared" si="0"/>
        <v>120355.69080737466</v>
      </c>
      <c r="F45" s="81"/>
      <c r="G45" s="10">
        <v>0</v>
      </c>
    </row>
    <row r="46" spans="1:7" x14ac:dyDescent="0.25">
      <c r="A46" s="9">
        <v>2003</v>
      </c>
      <c r="B46" s="5">
        <v>79560</v>
      </c>
      <c r="C46" s="5">
        <v>80000</v>
      </c>
      <c r="D46" s="5">
        <v>198900</v>
      </c>
      <c r="E46" s="10">
        <f t="shared" si="0"/>
        <v>358460</v>
      </c>
      <c r="F46" s="81"/>
      <c r="G46" s="10">
        <v>0</v>
      </c>
    </row>
    <row r="47" spans="1:7" x14ac:dyDescent="0.25">
      <c r="A47" s="8">
        <v>2004</v>
      </c>
      <c r="B47" s="5">
        <v>84000</v>
      </c>
      <c r="C47" s="5">
        <v>56000</v>
      </c>
      <c r="D47" s="5">
        <v>30000</v>
      </c>
      <c r="E47" s="10">
        <f t="shared" si="0"/>
        <v>170000</v>
      </c>
      <c r="F47" s="81"/>
      <c r="G47" s="5">
        <v>6423</v>
      </c>
    </row>
    <row r="48" spans="1:7" ht="13.8" thickBot="1" x14ac:dyDescent="0.3">
      <c r="A48" s="8">
        <v>2005</v>
      </c>
      <c r="B48" s="5">
        <v>91000</v>
      </c>
      <c r="C48" s="5">
        <v>36000</v>
      </c>
      <c r="D48" s="5">
        <v>147000</v>
      </c>
      <c r="E48" s="10">
        <f t="shared" si="0"/>
        <v>274000</v>
      </c>
      <c r="F48" s="81"/>
      <c r="G48" s="10">
        <v>0</v>
      </c>
    </row>
    <row r="49" spans="1:12" x14ac:dyDescent="0.25">
      <c r="A49" s="9">
        <v>2006</v>
      </c>
      <c r="B49" s="11">
        <v>112000</v>
      </c>
      <c r="C49" s="11">
        <v>24000</v>
      </c>
      <c r="D49" s="11">
        <v>47000</v>
      </c>
      <c r="E49" s="58">
        <f>SUM(B49:D49)</f>
        <v>183000</v>
      </c>
      <c r="F49" s="81"/>
      <c r="G49" s="10">
        <v>0</v>
      </c>
      <c r="K49" s="192" t="s">
        <v>289</v>
      </c>
      <c r="L49" s="193"/>
    </row>
    <row r="50" spans="1:12" ht="13.8" thickBot="1" x14ac:dyDescent="0.3">
      <c r="A50" s="9">
        <v>2007</v>
      </c>
      <c r="B50" s="11">
        <v>71000</v>
      </c>
      <c r="C50" s="11">
        <v>66000</v>
      </c>
      <c r="D50" s="11">
        <v>40000</v>
      </c>
      <c r="E50" s="10">
        <f t="shared" si="0"/>
        <v>177000</v>
      </c>
      <c r="F50" s="81"/>
      <c r="G50" s="11">
        <v>90795</v>
      </c>
      <c r="K50" s="50">
        <v>30000</v>
      </c>
      <c r="L50" s="51">
        <v>80000</v>
      </c>
    </row>
    <row r="51" spans="1:12" ht="13.8" thickBot="1" x14ac:dyDescent="0.3">
      <c r="A51" s="9">
        <v>2008</v>
      </c>
      <c r="B51" s="11">
        <v>136000</v>
      </c>
      <c r="C51" s="11">
        <v>29000</v>
      </c>
      <c r="D51" s="11">
        <v>66000</v>
      </c>
      <c r="E51" s="10">
        <f t="shared" si="0"/>
        <v>231000</v>
      </c>
      <c r="F51" s="81"/>
      <c r="G51" s="10">
        <v>0</v>
      </c>
      <c r="K51" s="175">
        <v>40000</v>
      </c>
      <c r="L51" s="176">
        <v>130000</v>
      </c>
    </row>
    <row r="52" spans="1:12" x14ac:dyDescent="0.25">
      <c r="A52" s="9">
        <v>2009</v>
      </c>
      <c r="B52" s="11">
        <v>103000</v>
      </c>
      <c r="C52" s="11">
        <v>25000</v>
      </c>
      <c r="D52" s="11">
        <v>84000</v>
      </c>
      <c r="E52" s="10">
        <f t="shared" si="0"/>
        <v>212000</v>
      </c>
      <c r="F52" s="81"/>
      <c r="G52" s="10">
        <v>0</v>
      </c>
    </row>
    <row r="53" spans="1:12" x14ac:dyDescent="0.25">
      <c r="A53" s="48">
        <v>2010</v>
      </c>
      <c r="B53" s="11">
        <v>150000</v>
      </c>
      <c r="C53" s="11">
        <v>48000</v>
      </c>
      <c r="D53" s="11">
        <v>95000</v>
      </c>
      <c r="E53" s="10">
        <f t="shared" si="0"/>
        <v>293000</v>
      </c>
      <c r="F53" s="81"/>
      <c r="G53" s="11">
        <v>558665</v>
      </c>
      <c r="H53" s="11">
        <f t="shared" ref="H53:H58" si="1">G53+E53</f>
        <v>851665</v>
      </c>
      <c r="K53" s="48">
        <v>2010</v>
      </c>
      <c r="L53" s="168">
        <f>D53/E53</f>
        <v>0.32423208191126279</v>
      </c>
    </row>
    <row r="54" spans="1:12" x14ac:dyDescent="0.25">
      <c r="A54" s="48">
        <v>2011</v>
      </c>
      <c r="B54" s="11">
        <v>195000</v>
      </c>
      <c r="C54" s="11">
        <v>90000</v>
      </c>
      <c r="D54" s="11">
        <v>176000</v>
      </c>
      <c r="E54" s="10">
        <f t="shared" si="0"/>
        <v>461000</v>
      </c>
      <c r="F54" s="81"/>
      <c r="G54" s="11">
        <v>252722</v>
      </c>
      <c r="H54" s="11">
        <f t="shared" si="1"/>
        <v>713722</v>
      </c>
      <c r="K54" s="48">
        <v>2011</v>
      </c>
      <c r="L54" s="168">
        <f t="shared" ref="L54:L66" si="2">D54/E54</f>
        <v>0.38177874186550975</v>
      </c>
    </row>
    <row r="55" spans="1:12" x14ac:dyDescent="0.25">
      <c r="A55" s="48">
        <v>2012</v>
      </c>
      <c r="B55" s="90">
        <v>230000</v>
      </c>
      <c r="C55" s="90">
        <v>60000</v>
      </c>
      <c r="D55" s="90">
        <v>130000</v>
      </c>
      <c r="E55" s="92">
        <f t="shared" si="0"/>
        <v>420000</v>
      </c>
      <c r="F55" s="81"/>
      <c r="G55" s="11">
        <v>7815</v>
      </c>
      <c r="H55" s="11">
        <f t="shared" si="1"/>
        <v>427815</v>
      </c>
      <c r="K55" s="48">
        <v>2012</v>
      </c>
      <c r="L55" s="168">
        <f t="shared" si="2"/>
        <v>0.30952380952380953</v>
      </c>
    </row>
    <row r="56" spans="1:12" x14ac:dyDescent="0.25">
      <c r="A56" s="48">
        <v>2013</v>
      </c>
      <c r="B56" s="90">
        <v>360000</v>
      </c>
      <c r="C56" s="90">
        <v>115000</v>
      </c>
      <c r="D56" s="90">
        <v>396000</v>
      </c>
      <c r="E56" s="92">
        <f t="shared" si="0"/>
        <v>871000</v>
      </c>
      <c r="F56" s="81"/>
      <c r="G56" s="11">
        <v>564597</v>
      </c>
      <c r="H56" s="11">
        <f t="shared" si="1"/>
        <v>1435597</v>
      </c>
      <c r="K56" s="48">
        <v>2013</v>
      </c>
      <c r="L56" s="168">
        <f t="shared" si="2"/>
        <v>0.45464982778415614</v>
      </c>
    </row>
    <row r="57" spans="1:12" x14ac:dyDescent="0.25">
      <c r="A57" s="48">
        <v>2014</v>
      </c>
      <c r="B57" s="90">
        <v>155000</v>
      </c>
      <c r="C57" s="90">
        <v>60000</v>
      </c>
      <c r="D57" s="90">
        <v>190000</v>
      </c>
      <c r="E57" s="92">
        <f t="shared" si="0"/>
        <v>405000</v>
      </c>
      <c r="F57" s="81"/>
      <c r="G57" s="11">
        <v>417375</v>
      </c>
      <c r="H57" s="11">
        <f t="shared" si="1"/>
        <v>822375</v>
      </c>
      <c r="K57" s="48">
        <v>2014</v>
      </c>
      <c r="L57" s="168">
        <f t="shared" si="2"/>
        <v>0.46913580246913578</v>
      </c>
    </row>
    <row r="58" spans="1:12" x14ac:dyDescent="0.25">
      <c r="A58" s="48">
        <v>2015</v>
      </c>
      <c r="B58" s="90">
        <v>218000</v>
      </c>
      <c r="C58" s="90">
        <v>50000</v>
      </c>
      <c r="D58" s="90">
        <v>300000</v>
      </c>
      <c r="E58" s="92">
        <f t="shared" ref="E58:E67" si="3">SUM(B58:D58)</f>
        <v>568000</v>
      </c>
      <c r="F58" s="81"/>
      <c r="G58" s="11">
        <v>1640937</v>
      </c>
      <c r="H58" s="11">
        <f t="shared" si="1"/>
        <v>2208937</v>
      </c>
      <c r="K58" s="48">
        <v>2015</v>
      </c>
      <c r="L58" s="168">
        <f t="shared" si="2"/>
        <v>0.528169014084507</v>
      </c>
    </row>
    <row r="59" spans="1:12" x14ac:dyDescent="0.25">
      <c r="A59" s="48">
        <v>2016</v>
      </c>
      <c r="B59" s="11">
        <v>108000</v>
      </c>
      <c r="C59" s="11">
        <v>40000</v>
      </c>
      <c r="D59" s="11">
        <v>105000</v>
      </c>
      <c r="E59" s="11">
        <f t="shared" si="3"/>
        <v>253000</v>
      </c>
      <c r="F59" s="65"/>
      <c r="G59" s="11">
        <v>100000</v>
      </c>
      <c r="H59" s="11">
        <f>G59+E59</f>
        <v>353000</v>
      </c>
      <c r="K59" s="48">
        <v>2016</v>
      </c>
      <c r="L59" s="168">
        <f t="shared" si="2"/>
        <v>0.41501976284584979</v>
      </c>
    </row>
    <row r="60" spans="1:12" x14ac:dyDescent="0.25">
      <c r="A60" s="48">
        <v>2017</v>
      </c>
      <c r="B60" s="11">
        <v>121000</v>
      </c>
      <c r="C60" s="11">
        <v>80000</v>
      </c>
      <c r="D60" s="11">
        <v>357000</v>
      </c>
      <c r="E60" s="92">
        <f t="shared" si="3"/>
        <v>558000</v>
      </c>
      <c r="F60" s="65"/>
      <c r="G60" s="11">
        <v>689689</v>
      </c>
      <c r="H60" s="11">
        <f t="shared" ref="H60:H63" si="4">G60+E60</f>
        <v>1247689</v>
      </c>
      <c r="K60" s="48">
        <v>2017</v>
      </c>
      <c r="L60" s="168">
        <f t="shared" si="2"/>
        <v>0.63978494623655913</v>
      </c>
    </row>
    <row r="61" spans="1:12" x14ac:dyDescent="0.25">
      <c r="A61" s="48">
        <v>2018</v>
      </c>
      <c r="B61" s="11">
        <v>79000</v>
      </c>
      <c r="C61" s="11">
        <v>29000</v>
      </c>
      <c r="D61" s="11">
        <v>250000</v>
      </c>
      <c r="E61" s="92">
        <f t="shared" si="3"/>
        <v>358000</v>
      </c>
      <c r="F61" s="65"/>
      <c r="G61" s="11">
        <v>163205</v>
      </c>
      <c r="H61" s="11">
        <f t="shared" si="4"/>
        <v>521205</v>
      </c>
      <c r="K61" s="48">
        <v>2018</v>
      </c>
      <c r="L61" s="168">
        <f t="shared" si="2"/>
        <v>0.6983240223463687</v>
      </c>
    </row>
    <row r="62" spans="1:12" x14ac:dyDescent="0.25">
      <c r="A62" s="48">
        <v>2019</v>
      </c>
      <c r="B62" s="11">
        <v>89000</v>
      </c>
      <c r="C62" s="11">
        <v>55000</v>
      </c>
      <c r="D62" s="11">
        <v>198000</v>
      </c>
      <c r="E62" s="92">
        <f t="shared" si="3"/>
        <v>342000</v>
      </c>
      <c r="F62" s="65"/>
      <c r="G62" s="11">
        <v>87209</v>
      </c>
      <c r="H62" s="11">
        <f t="shared" si="4"/>
        <v>429209</v>
      </c>
      <c r="K62" s="48">
        <v>2019</v>
      </c>
      <c r="L62" s="168">
        <f>D62/E62</f>
        <v>0.57894736842105265</v>
      </c>
    </row>
    <row r="63" spans="1:12" x14ac:dyDescent="0.25">
      <c r="A63" s="48">
        <v>2020</v>
      </c>
      <c r="B63" s="11">
        <v>61000</v>
      </c>
      <c r="C63" s="11">
        <v>26000</v>
      </c>
      <c r="D63" s="11">
        <v>110000</v>
      </c>
      <c r="E63" s="92">
        <f t="shared" si="3"/>
        <v>197000</v>
      </c>
      <c r="F63" s="65"/>
      <c r="G63" s="11">
        <v>623</v>
      </c>
      <c r="H63" s="11">
        <f t="shared" si="4"/>
        <v>197623</v>
      </c>
      <c r="K63" s="48">
        <v>2020</v>
      </c>
      <c r="L63" s="168">
        <f t="shared" si="2"/>
        <v>0.55837563451776651</v>
      </c>
    </row>
    <row r="64" spans="1:12" x14ac:dyDescent="0.25">
      <c r="A64" s="48">
        <v>2021</v>
      </c>
      <c r="B64" s="11">
        <v>301000</v>
      </c>
      <c r="C64" s="11">
        <v>59000</v>
      </c>
      <c r="D64" s="11">
        <v>113000</v>
      </c>
      <c r="E64" s="92">
        <f>SUM(B64:D64)</f>
        <v>473000</v>
      </c>
      <c r="F64" s="65"/>
      <c r="G64" s="11">
        <v>178760</v>
      </c>
      <c r="H64" s="11">
        <f>G64+E64</f>
        <v>651760</v>
      </c>
      <c r="K64" s="48">
        <v>2021</v>
      </c>
      <c r="L64" s="168">
        <f t="shared" si="2"/>
        <v>0.23890063424947147</v>
      </c>
    </row>
    <row r="65" spans="1:12" x14ac:dyDescent="0.25">
      <c r="A65" s="48">
        <v>2022</v>
      </c>
      <c r="B65" s="11">
        <v>35000</v>
      </c>
      <c r="C65" s="11">
        <v>27000</v>
      </c>
      <c r="D65" s="11">
        <v>80000</v>
      </c>
      <c r="E65" s="92">
        <f t="shared" si="3"/>
        <v>142000</v>
      </c>
      <c r="F65" s="65"/>
      <c r="G65" s="11">
        <v>0</v>
      </c>
      <c r="H65" s="11">
        <f>G65+E65</f>
        <v>142000</v>
      </c>
      <c r="K65" s="48">
        <v>2022</v>
      </c>
      <c r="L65" s="168">
        <f t="shared" si="2"/>
        <v>0.56338028169014087</v>
      </c>
    </row>
    <row r="66" spans="1:12" x14ac:dyDescent="0.25">
      <c r="A66" s="48">
        <v>2023</v>
      </c>
      <c r="B66" s="11">
        <v>89000</v>
      </c>
      <c r="C66" s="11">
        <v>42000</v>
      </c>
      <c r="D66" s="11">
        <v>212000</v>
      </c>
      <c r="E66" s="92">
        <f t="shared" si="3"/>
        <v>343000</v>
      </c>
      <c r="F66" s="65"/>
      <c r="G66" s="11">
        <v>128682</v>
      </c>
      <c r="H66" s="11">
        <f>G66+E66</f>
        <v>471682</v>
      </c>
      <c r="K66" s="48"/>
      <c r="L66" s="168">
        <f t="shared" si="2"/>
        <v>0.61807580174927113</v>
      </c>
    </row>
    <row r="67" spans="1:12" x14ac:dyDescent="0.25">
      <c r="A67" s="48">
        <v>2024</v>
      </c>
      <c r="B67" s="108">
        <v>148000</v>
      </c>
      <c r="C67" s="108">
        <v>44000</v>
      </c>
      <c r="D67" s="108">
        <v>137000</v>
      </c>
      <c r="E67" s="92">
        <f t="shared" si="3"/>
        <v>329000</v>
      </c>
      <c r="F67" s="65"/>
      <c r="G67" s="11">
        <v>0</v>
      </c>
      <c r="H67" s="11">
        <f>G67+E67</f>
        <v>329000</v>
      </c>
      <c r="K67" s="48"/>
      <c r="L67" s="168"/>
    </row>
    <row r="68" spans="1:12" ht="13.8" x14ac:dyDescent="0.25">
      <c r="A68" s="66" t="s">
        <v>108</v>
      </c>
      <c r="B68" s="128">
        <f>AVERAGE(B3:B67)</f>
        <v>53699.238731377292</v>
      </c>
      <c r="C68" s="128">
        <f>AVERAGE(C3:C67)</f>
        <v>26348.445520664809</v>
      </c>
      <c r="D68" s="128">
        <f>AVERAGE(D3:D67)</f>
        <v>70601.614348223637</v>
      </c>
      <c r="E68" s="128">
        <f>AVERAGE(E3:E66)</f>
        <v>147862.56889089488</v>
      </c>
      <c r="F68" s="128"/>
      <c r="G68" s="128">
        <f>AVERAGE(G3:G67)</f>
        <v>77400.538461538468</v>
      </c>
    </row>
    <row r="69" spans="1:12" ht="13.8" x14ac:dyDescent="0.25">
      <c r="A69" s="22" t="s">
        <v>363</v>
      </c>
      <c r="B69" s="92">
        <f>AVERAGE(B57:B66)</f>
        <v>125600</v>
      </c>
      <c r="C69" s="92">
        <f>AVERAGE(C57:C66)</f>
        <v>46800</v>
      </c>
      <c r="D69" s="92">
        <f t="shared" ref="D69:H69" si="5">AVERAGE(D57:D66)</f>
        <v>191500</v>
      </c>
      <c r="E69" s="92">
        <f t="shared" si="5"/>
        <v>363900</v>
      </c>
      <c r="F69" s="92"/>
      <c r="G69" s="92">
        <f t="shared" si="5"/>
        <v>340648</v>
      </c>
      <c r="H69" s="92">
        <f t="shared" si="5"/>
        <v>704548</v>
      </c>
    </row>
    <row r="70" spans="1:12" ht="13.8" x14ac:dyDescent="0.25">
      <c r="A70" s="22" t="s">
        <v>361</v>
      </c>
      <c r="B70" s="96">
        <f>RANK(B67,B3:B67)</f>
        <v>8</v>
      </c>
      <c r="C70" s="96">
        <f t="shared" ref="C70:G70" si="6">RANK(C67,C3:C67)</f>
        <v>15</v>
      </c>
      <c r="D70" s="96">
        <f t="shared" si="6"/>
        <v>12</v>
      </c>
      <c r="E70" s="96">
        <f t="shared" si="6"/>
        <v>12</v>
      </c>
      <c r="F70" s="96"/>
      <c r="G70" s="96">
        <f t="shared" si="6"/>
        <v>35</v>
      </c>
    </row>
    <row r="71" spans="1:12" ht="13.8" x14ac:dyDescent="0.25">
      <c r="A71" s="23" t="s">
        <v>362</v>
      </c>
      <c r="B71" s="129">
        <f>B67/B69</f>
        <v>1.1783439490445859</v>
      </c>
      <c r="C71" s="129">
        <f t="shared" ref="C71:G71" si="7">C67/C69</f>
        <v>0.94017094017094016</v>
      </c>
      <c r="D71" s="129">
        <f t="shared" si="7"/>
        <v>0.71540469973890342</v>
      </c>
      <c r="E71" s="129">
        <f t="shared" si="7"/>
        <v>0.9040945314646881</v>
      </c>
      <c r="F71" s="129"/>
      <c r="G71" s="129">
        <f t="shared" si="7"/>
        <v>0</v>
      </c>
    </row>
    <row r="72" spans="1:12" x14ac:dyDescent="0.25">
      <c r="B72" s="168">
        <f>(B61-B69)/B69</f>
        <v>-0.37101910828025475</v>
      </c>
      <c r="C72" s="168">
        <f>(C61-C69)/C69</f>
        <v>-0.38034188034188032</v>
      </c>
      <c r="D72" s="168">
        <f>(D61-D69)/D69</f>
        <v>0.30548302872062666</v>
      </c>
      <c r="E72" s="168">
        <f>(E61-E69)/E69</f>
        <v>-1.6213245397087111E-2</v>
      </c>
      <c r="F72" s="168"/>
      <c r="G72" s="168">
        <f>(G61-G69)/G69</f>
        <v>-0.52089840539207632</v>
      </c>
    </row>
    <row r="74" spans="1:12" ht="13.8" x14ac:dyDescent="0.25">
      <c r="A74" s="158" t="s">
        <v>344</v>
      </c>
    </row>
    <row r="75" spans="1:12" ht="13.8" x14ac:dyDescent="0.25">
      <c r="A75" s="159" t="s">
        <v>345</v>
      </c>
    </row>
    <row r="76" spans="1:12" ht="13.8" x14ac:dyDescent="0.25">
      <c r="A76" s="160" t="s">
        <v>346</v>
      </c>
    </row>
    <row r="77" spans="1:12" x14ac:dyDescent="0.25">
      <c r="A77" s="179" t="s">
        <v>355</v>
      </c>
      <c r="H77" s="169">
        <f>(E61-L51)/L51</f>
        <v>1.7538461538461538</v>
      </c>
    </row>
  </sheetData>
  <mergeCells count="1">
    <mergeCell ref="K49:L49"/>
  </mergeCells>
  <phoneticPr fontId="10" type="noConversion"/>
  <pageMargins left="0.75" right="0.75" top="1" bottom="1" header="0.5" footer="0.5"/>
  <pageSetup scale="62" orientation="portrait" r:id="rId1"/>
  <headerFooter alignWithMargins="0">
    <oddFooter>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rgb="FF92D050"/>
    <pageSetUpPr fitToPage="1"/>
  </sheetPr>
  <dimension ref="A1:R81"/>
  <sheetViews>
    <sheetView workbookViewId="0">
      <pane xSplit="1" ySplit="2" topLeftCell="B45" activePane="bottomRight" state="frozen"/>
      <selection pane="topRight" activeCell="B1" sqref="B1"/>
      <selection pane="bottomLeft" activeCell="A3" sqref="A3"/>
      <selection pane="bottomRight" activeCell="G47" sqref="G47"/>
    </sheetView>
  </sheetViews>
  <sheetFormatPr defaultRowHeight="13.2" x14ac:dyDescent="0.25"/>
  <cols>
    <col min="1" max="1" width="26.88671875" customWidth="1"/>
    <col min="2" max="2" width="12.6640625" bestFit="1" customWidth="1"/>
    <col min="3" max="3" width="19.109375" bestFit="1" customWidth="1"/>
    <col min="4" max="4" width="13" bestFit="1" customWidth="1"/>
    <col min="5" max="5" width="19.33203125" bestFit="1" customWidth="1"/>
    <col min="6" max="6" width="18.6640625" bestFit="1" customWidth="1"/>
    <col min="7" max="7" width="11.44140625" bestFit="1" customWidth="1"/>
    <col min="8" max="8" width="2.44140625" style="28" customWidth="1"/>
    <col min="9" max="9" width="10.44140625" style="14" bestFit="1" customWidth="1"/>
    <col min="10" max="10" width="10.44140625" style="14" customWidth="1"/>
    <col min="11" max="11" width="11.33203125" bestFit="1" customWidth="1"/>
    <col min="12" max="12" width="12.33203125" bestFit="1" customWidth="1"/>
    <col min="16" max="16" width="11.33203125" bestFit="1" customWidth="1"/>
  </cols>
  <sheetData>
    <row r="1" spans="1:13" s="14" customFormat="1" x14ac:dyDescent="0.25">
      <c r="B1" s="38" t="s">
        <v>45</v>
      </c>
      <c r="C1" s="38" t="s">
        <v>46</v>
      </c>
      <c r="D1" s="38" t="s">
        <v>47</v>
      </c>
      <c r="E1" s="38" t="s">
        <v>48</v>
      </c>
      <c r="F1" s="38" t="s">
        <v>49</v>
      </c>
      <c r="H1" s="29"/>
      <c r="I1" s="39"/>
      <c r="J1" s="39"/>
    </row>
    <row r="2" spans="1:13" s="14" customFormat="1" x14ac:dyDescent="0.25">
      <c r="B2" s="15" t="s">
        <v>50</v>
      </c>
      <c r="C2" s="14" t="s">
        <v>51</v>
      </c>
      <c r="D2" s="14" t="s">
        <v>52</v>
      </c>
      <c r="E2" s="14" t="s">
        <v>53</v>
      </c>
      <c r="F2" s="14" t="s">
        <v>54</v>
      </c>
      <c r="G2" s="14" t="s">
        <v>4</v>
      </c>
      <c r="H2" s="29"/>
      <c r="I2" s="59" t="s">
        <v>140</v>
      </c>
      <c r="J2" s="59"/>
    </row>
    <row r="3" spans="1:13" x14ac:dyDescent="0.25">
      <c r="A3" s="6">
        <v>1960</v>
      </c>
      <c r="B3" s="1">
        <v>140.8227654347009</v>
      </c>
      <c r="C3" s="2">
        <v>200</v>
      </c>
      <c r="D3" s="2">
        <v>1400</v>
      </c>
      <c r="E3" s="1">
        <v>334.44239950850994</v>
      </c>
      <c r="F3" s="1">
        <v>391.46150574949746</v>
      </c>
      <c r="G3" s="10">
        <f t="shared" ref="G3:G34" si="0">SUM(B3:F3)</f>
        <v>2466.7266706927085</v>
      </c>
      <c r="I3" s="37">
        <v>171</v>
      </c>
      <c r="J3" s="37"/>
      <c r="K3" s="39"/>
      <c r="L3" s="39"/>
      <c r="M3" s="39"/>
    </row>
    <row r="4" spans="1:13" x14ac:dyDescent="0.25">
      <c r="A4" s="6">
        <v>1961</v>
      </c>
      <c r="B4" s="1">
        <v>2158.4151481080789</v>
      </c>
      <c r="C4" s="1">
        <v>2109.5788606057581</v>
      </c>
      <c r="D4" s="1">
        <v>22413.90211294041</v>
      </c>
      <c r="E4" s="1">
        <v>5126.0574968117326</v>
      </c>
      <c r="F4" s="2">
        <v>6000</v>
      </c>
      <c r="G4" s="10">
        <f t="shared" si="0"/>
        <v>37807.953618465981</v>
      </c>
      <c r="I4" s="37">
        <v>8942</v>
      </c>
      <c r="J4" s="37"/>
      <c r="K4" s="39"/>
      <c r="L4" s="39"/>
      <c r="M4" s="39"/>
    </row>
    <row r="5" spans="1:13" x14ac:dyDescent="0.25">
      <c r="A5" s="6">
        <v>1962</v>
      </c>
      <c r="B5" s="1">
        <v>705.35382771587524</v>
      </c>
      <c r="C5" s="2">
        <v>500</v>
      </c>
      <c r="D5" s="2">
        <v>6000</v>
      </c>
      <c r="E5" s="2">
        <v>50</v>
      </c>
      <c r="F5" s="2">
        <v>5100</v>
      </c>
      <c r="G5" s="10">
        <f t="shared" si="0"/>
        <v>12355.353827715875</v>
      </c>
      <c r="I5" s="37">
        <v>49</v>
      </c>
      <c r="J5" s="37"/>
      <c r="K5" s="39"/>
      <c r="L5" s="39"/>
      <c r="M5" s="39"/>
    </row>
    <row r="6" spans="1:13" x14ac:dyDescent="0.25">
      <c r="A6" s="6">
        <v>1963</v>
      </c>
      <c r="B6" s="1">
        <v>10232.171428560901</v>
      </c>
      <c r="C6" s="2">
        <v>4000</v>
      </c>
      <c r="D6" s="2">
        <v>115000</v>
      </c>
      <c r="E6" s="2">
        <v>4000</v>
      </c>
      <c r="F6" s="2">
        <v>46000</v>
      </c>
      <c r="G6" s="10">
        <f t="shared" si="0"/>
        <v>179232.17142856092</v>
      </c>
      <c r="I6" s="37">
        <v>119629</v>
      </c>
      <c r="J6" s="37"/>
      <c r="K6" s="39"/>
      <c r="L6" s="39"/>
      <c r="M6" s="39"/>
    </row>
    <row r="7" spans="1:13" x14ac:dyDescent="0.25">
      <c r="A7" s="6">
        <v>1964</v>
      </c>
      <c r="B7" s="1">
        <v>2058.5433652142551</v>
      </c>
      <c r="C7" s="2">
        <v>4000</v>
      </c>
      <c r="D7" s="2">
        <v>17000</v>
      </c>
      <c r="E7" s="2">
        <v>1000</v>
      </c>
      <c r="F7" s="2">
        <v>12000</v>
      </c>
      <c r="G7" s="10">
        <f t="shared" si="0"/>
        <v>36058.543365214253</v>
      </c>
      <c r="I7" s="37">
        <v>1557</v>
      </c>
      <c r="J7" s="37"/>
      <c r="K7" s="39"/>
      <c r="L7" s="39"/>
      <c r="M7" s="39"/>
    </row>
    <row r="8" spans="1:13" x14ac:dyDescent="0.25">
      <c r="A8" s="6">
        <v>1965</v>
      </c>
      <c r="B8" s="1">
        <v>6364.1948103370214</v>
      </c>
      <c r="C8" s="2">
        <v>10000</v>
      </c>
      <c r="D8" s="2">
        <v>60000</v>
      </c>
      <c r="E8" s="1">
        <v>15114.435264498979</v>
      </c>
      <c r="F8" s="2">
        <v>20000</v>
      </c>
      <c r="G8" s="10">
        <f t="shared" si="0"/>
        <v>111478.63007483601</v>
      </c>
      <c r="I8" s="37">
        <v>96410</v>
      </c>
      <c r="J8" s="37"/>
      <c r="K8" s="39"/>
      <c r="L8" s="39"/>
      <c r="M8" s="39"/>
    </row>
    <row r="9" spans="1:13" x14ac:dyDescent="0.25">
      <c r="A9" s="6">
        <v>1966</v>
      </c>
      <c r="B9" s="1">
        <v>379.81677594843779</v>
      </c>
      <c r="C9" s="1">
        <v>371.22304581029056</v>
      </c>
      <c r="D9" s="2">
        <v>2000</v>
      </c>
      <c r="E9" s="1">
        <v>902.03336686253863</v>
      </c>
      <c r="F9" s="2">
        <v>3000</v>
      </c>
      <c r="G9" s="10">
        <f t="shared" si="0"/>
        <v>6653.073188621267</v>
      </c>
      <c r="I9" s="37"/>
      <c r="J9" s="37"/>
      <c r="K9" s="39"/>
      <c r="L9" s="39"/>
      <c r="M9" s="39"/>
    </row>
    <row r="10" spans="1:13" x14ac:dyDescent="0.25">
      <c r="A10" s="6">
        <v>1967</v>
      </c>
      <c r="B10" s="1">
        <v>1051.3168834125017</v>
      </c>
      <c r="C10" s="1">
        <v>1027.5297862682471</v>
      </c>
      <c r="D10" s="1">
        <v>10917.321409240225</v>
      </c>
      <c r="E10" s="1">
        <v>2496.790442548267</v>
      </c>
      <c r="F10" s="1">
        <v>2922.4684024834123</v>
      </c>
      <c r="G10" s="10">
        <f t="shared" si="0"/>
        <v>18415.426923952655</v>
      </c>
      <c r="I10" s="37">
        <v>1362</v>
      </c>
      <c r="J10" s="37"/>
      <c r="K10" s="39"/>
      <c r="L10" s="39"/>
      <c r="M10" s="39"/>
    </row>
    <row r="11" spans="1:13" x14ac:dyDescent="0.25">
      <c r="A11" s="6">
        <v>1968</v>
      </c>
      <c r="B11" s="1">
        <v>227.89006558014182</v>
      </c>
      <c r="C11" s="1">
        <v>222.73382748838924</v>
      </c>
      <c r="D11" s="2">
        <v>2000</v>
      </c>
      <c r="E11" s="1">
        <v>541.22002012049302</v>
      </c>
      <c r="F11" s="2">
        <v>1000</v>
      </c>
      <c r="G11" s="10">
        <f t="shared" si="0"/>
        <v>3991.8439131890245</v>
      </c>
      <c r="I11" s="37">
        <v>896</v>
      </c>
      <c r="J11" s="37"/>
      <c r="K11" s="39"/>
      <c r="L11" s="39"/>
      <c r="M11" s="39"/>
    </row>
    <row r="12" spans="1:13" x14ac:dyDescent="0.25">
      <c r="A12" s="6">
        <v>1969</v>
      </c>
      <c r="B12" s="1">
        <v>1767.8318926312861</v>
      </c>
      <c r="C12" s="2">
        <v>1000</v>
      </c>
      <c r="D12" s="2">
        <v>15000</v>
      </c>
      <c r="E12" s="1">
        <v>4198.4542403389023</v>
      </c>
      <c r="F12" s="2">
        <v>9000</v>
      </c>
      <c r="G12" s="10">
        <f t="shared" si="0"/>
        <v>30966.286132970188</v>
      </c>
      <c r="I12" s="37">
        <v>0</v>
      </c>
      <c r="J12" s="37"/>
      <c r="K12" s="39"/>
      <c r="L12" s="56"/>
      <c r="M12" s="39"/>
    </row>
    <row r="13" spans="1:13" x14ac:dyDescent="0.25">
      <c r="A13" s="6">
        <v>1970</v>
      </c>
      <c r="B13" s="1">
        <v>302.72696602894479</v>
      </c>
      <c r="C13" s="2">
        <v>500</v>
      </c>
      <c r="D13" s="2">
        <v>3000</v>
      </c>
      <c r="E13" s="2">
        <v>500</v>
      </c>
      <c r="F13" s="2">
        <v>1000</v>
      </c>
      <c r="G13" s="10">
        <f t="shared" si="0"/>
        <v>5302.7269660289448</v>
      </c>
      <c r="I13" s="37">
        <v>0</v>
      </c>
      <c r="J13" s="37"/>
      <c r="K13" s="39"/>
      <c r="L13" s="39"/>
      <c r="M13" s="39"/>
    </row>
    <row r="14" spans="1:13" x14ac:dyDescent="0.25">
      <c r="A14" s="6">
        <v>1971</v>
      </c>
      <c r="B14" s="1">
        <v>3040.6708573836745</v>
      </c>
      <c r="C14" s="2">
        <v>5000</v>
      </c>
      <c r="D14" s="2">
        <v>20000</v>
      </c>
      <c r="E14" s="1">
        <v>7221.3412938319143</v>
      </c>
      <c r="F14" s="2">
        <v>18000</v>
      </c>
      <c r="G14" s="10">
        <f t="shared" si="0"/>
        <v>53262.012151215589</v>
      </c>
      <c r="I14" s="37">
        <v>0</v>
      </c>
      <c r="J14" s="37"/>
      <c r="K14" s="39"/>
      <c r="L14" s="39"/>
      <c r="M14" s="39"/>
    </row>
    <row r="15" spans="1:13" x14ac:dyDescent="0.25">
      <c r="A15" s="6">
        <v>1972</v>
      </c>
      <c r="B15" s="1">
        <v>222.74681863232078</v>
      </c>
      <c r="C15" s="2">
        <v>150</v>
      </c>
      <c r="D15" s="2">
        <v>1500</v>
      </c>
      <c r="E15" s="1">
        <v>529.00523431784097</v>
      </c>
      <c r="F15" s="2">
        <v>1500</v>
      </c>
      <c r="G15" s="10">
        <f t="shared" si="0"/>
        <v>3901.7520529501617</v>
      </c>
      <c r="I15" s="37">
        <v>0</v>
      </c>
      <c r="J15" s="37"/>
      <c r="K15" s="39"/>
      <c r="L15" s="39"/>
      <c r="M15" s="39"/>
    </row>
    <row r="16" spans="1:13" x14ac:dyDescent="0.25">
      <c r="A16" s="6">
        <v>1973</v>
      </c>
      <c r="B16" s="1">
        <v>1362.2713483662167</v>
      </c>
      <c r="C16" s="2">
        <v>2000</v>
      </c>
      <c r="D16" s="2">
        <v>16000</v>
      </c>
      <c r="E16" s="2">
        <v>1000</v>
      </c>
      <c r="F16" s="2">
        <v>3500</v>
      </c>
      <c r="G16" s="10">
        <f t="shared" si="0"/>
        <v>23862.271348366216</v>
      </c>
      <c r="I16" s="37">
        <v>0</v>
      </c>
      <c r="J16" s="37"/>
      <c r="K16" s="39"/>
      <c r="L16" s="39"/>
      <c r="M16" s="39"/>
    </row>
    <row r="17" spans="1:13" x14ac:dyDescent="0.25">
      <c r="A17" s="6">
        <v>1974</v>
      </c>
      <c r="B17" s="1">
        <v>788.45302501870549</v>
      </c>
      <c r="C17" s="2">
        <v>150</v>
      </c>
      <c r="D17" s="2">
        <v>3000</v>
      </c>
      <c r="E17" s="1">
        <v>1872.5105913764153</v>
      </c>
      <c r="F17" s="2">
        <v>8000</v>
      </c>
      <c r="G17" s="10">
        <f t="shared" si="0"/>
        <v>13810.963616395122</v>
      </c>
      <c r="I17" s="37">
        <v>0</v>
      </c>
      <c r="J17" s="37"/>
      <c r="K17" s="39"/>
      <c r="L17" s="39"/>
      <c r="M17" s="39"/>
    </row>
    <row r="18" spans="1:13" x14ac:dyDescent="0.25">
      <c r="A18" s="6">
        <v>1975</v>
      </c>
      <c r="B18" s="1">
        <v>1725.5437087637304</v>
      </c>
      <c r="C18" s="2">
        <v>2000</v>
      </c>
      <c r="D18" s="2">
        <v>21000</v>
      </c>
      <c r="E18" s="2">
        <v>500</v>
      </c>
      <c r="F18" s="2">
        <v>5000</v>
      </c>
      <c r="G18" s="10">
        <f t="shared" si="0"/>
        <v>30225.543708763729</v>
      </c>
      <c r="I18" s="37">
        <v>0</v>
      </c>
      <c r="J18" s="37"/>
      <c r="K18" s="39"/>
      <c r="L18" s="39"/>
      <c r="M18" s="39"/>
    </row>
    <row r="19" spans="1:13" x14ac:dyDescent="0.25">
      <c r="A19" s="6">
        <v>1976</v>
      </c>
      <c r="B19" s="1">
        <v>647.83570828238226</v>
      </c>
      <c r="C19" s="2">
        <v>200</v>
      </c>
      <c r="D19" s="2">
        <v>3000</v>
      </c>
      <c r="E19" s="2">
        <v>500</v>
      </c>
      <c r="F19" s="2">
        <v>7000</v>
      </c>
      <c r="G19" s="10">
        <f t="shared" si="0"/>
        <v>11347.835708282382</v>
      </c>
      <c r="I19" s="37">
        <v>0</v>
      </c>
      <c r="J19" s="37"/>
      <c r="K19" s="39"/>
      <c r="L19" s="39"/>
      <c r="M19" s="39"/>
    </row>
    <row r="20" spans="1:13" x14ac:dyDescent="0.25">
      <c r="A20" s="6">
        <v>1977</v>
      </c>
      <c r="B20" s="1">
        <v>8718.5366485982704</v>
      </c>
      <c r="C20" s="2">
        <v>10000</v>
      </c>
      <c r="D20" s="2">
        <v>115000</v>
      </c>
      <c r="E20" s="2">
        <v>10000</v>
      </c>
      <c r="F20" s="2">
        <v>9000</v>
      </c>
      <c r="G20" s="10">
        <f t="shared" si="0"/>
        <v>152718.53664859827</v>
      </c>
      <c r="I20" s="37">
        <v>83384</v>
      </c>
      <c r="J20" s="37"/>
      <c r="K20" s="39"/>
      <c r="L20" s="39"/>
      <c r="M20" s="39"/>
    </row>
    <row r="21" spans="1:13" x14ac:dyDescent="0.25">
      <c r="A21" s="6">
        <v>1978</v>
      </c>
      <c r="B21" s="1">
        <v>1604.4529253777059</v>
      </c>
      <c r="C21" s="2">
        <v>500</v>
      </c>
      <c r="D21" s="2">
        <v>12000</v>
      </c>
      <c r="E21" s="2">
        <v>1000</v>
      </c>
      <c r="F21" s="2">
        <v>13000</v>
      </c>
      <c r="G21" s="10">
        <f t="shared" si="0"/>
        <v>28104.452925377707</v>
      </c>
      <c r="I21" s="37">
        <v>0</v>
      </c>
      <c r="J21" s="37"/>
      <c r="K21" s="39"/>
      <c r="L21" s="39"/>
      <c r="M21" s="39"/>
    </row>
    <row r="22" spans="1:13" x14ac:dyDescent="0.25">
      <c r="A22" s="6">
        <v>1979</v>
      </c>
      <c r="B22" s="1">
        <v>11987.98791939832</v>
      </c>
      <c r="C22" s="2">
        <v>8000</v>
      </c>
      <c r="D22" s="2">
        <v>125000</v>
      </c>
      <c r="E22" s="2">
        <v>30000</v>
      </c>
      <c r="F22" s="2">
        <v>35000</v>
      </c>
      <c r="G22" s="10">
        <f t="shared" si="0"/>
        <v>209987.98791939832</v>
      </c>
      <c r="I22" s="37">
        <v>227078</v>
      </c>
      <c r="J22" s="37"/>
      <c r="K22" s="39"/>
      <c r="L22" s="39"/>
      <c r="M22" s="39"/>
    </row>
    <row r="23" spans="1:13" x14ac:dyDescent="0.25">
      <c r="A23" s="6">
        <v>1980</v>
      </c>
      <c r="B23" s="1">
        <v>1061.8451119578453</v>
      </c>
      <c r="C23" s="2">
        <v>790</v>
      </c>
      <c r="D23" s="2">
        <v>8690</v>
      </c>
      <c r="E23" s="2">
        <v>1185</v>
      </c>
      <c r="F23" s="2">
        <v>6873</v>
      </c>
      <c r="G23" s="10">
        <f t="shared" si="0"/>
        <v>18599.845111957846</v>
      </c>
      <c r="I23" s="37">
        <v>0</v>
      </c>
      <c r="J23" s="37"/>
      <c r="K23" s="39"/>
      <c r="L23" s="39"/>
      <c r="M23" s="39"/>
    </row>
    <row r="24" spans="1:13" x14ac:dyDescent="0.25">
      <c r="A24" s="6">
        <v>1981</v>
      </c>
      <c r="B24" s="1">
        <v>11001.098025754673</v>
      </c>
      <c r="C24" s="2">
        <v>3950</v>
      </c>
      <c r="D24" s="2">
        <v>122450</v>
      </c>
      <c r="E24" s="2">
        <v>26070</v>
      </c>
      <c r="F24" s="2">
        <v>29230</v>
      </c>
      <c r="G24" s="10">
        <f t="shared" si="0"/>
        <v>192701.09802575468</v>
      </c>
      <c r="I24" s="37">
        <v>298911</v>
      </c>
      <c r="J24" s="37"/>
      <c r="K24" s="39"/>
      <c r="L24" s="39"/>
      <c r="M24" s="39"/>
    </row>
    <row r="25" spans="1:13" x14ac:dyDescent="0.25">
      <c r="A25" s="6">
        <v>1982</v>
      </c>
      <c r="B25" s="1">
        <v>1650.1647042863106</v>
      </c>
      <c r="C25" s="2">
        <v>395</v>
      </c>
      <c r="D25" s="2">
        <v>16590</v>
      </c>
      <c r="E25" s="2">
        <v>3160</v>
      </c>
      <c r="F25" s="2">
        <v>7110</v>
      </c>
      <c r="G25" s="10">
        <f t="shared" si="0"/>
        <v>28905.164704286311</v>
      </c>
      <c r="I25" s="37">
        <v>0</v>
      </c>
      <c r="J25" s="37"/>
      <c r="K25" s="39"/>
      <c r="L25" s="39"/>
      <c r="M25" s="39"/>
    </row>
    <row r="26" spans="1:13" x14ac:dyDescent="0.25">
      <c r="A26" s="6">
        <v>1983</v>
      </c>
      <c r="B26" s="1">
        <v>11133.807108816873</v>
      </c>
      <c r="C26" s="1">
        <v>10881.893620497143</v>
      </c>
      <c r="D26" s="2">
        <v>103490</v>
      </c>
      <c r="E26" s="2">
        <v>47400</v>
      </c>
      <c r="F26" s="2">
        <v>22120</v>
      </c>
      <c r="G26" s="10">
        <f t="shared" si="0"/>
        <v>195025.70072931401</v>
      </c>
      <c r="I26" s="37">
        <v>1171830</v>
      </c>
      <c r="J26" s="37"/>
      <c r="K26" s="39"/>
      <c r="L26" s="39"/>
      <c r="M26" s="39"/>
    </row>
    <row r="27" spans="1:13" x14ac:dyDescent="0.25">
      <c r="A27" s="6">
        <v>1984</v>
      </c>
      <c r="B27" s="1">
        <v>2535.0356377222015</v>
      </c>
      <c r="C27" s="2">
        <v>1580</v>
      </c>
      <c r="D27" s="2">
        <v>27650</v>
      </c>
      <c r="E27" s="2">
        <v>4740</v>
      </c>
      <c r="F27" s="2">
        <v>7900</v>
      </c>
      <c r="G27" s="10">
        <f t="shared" si="0"/>
        <v>44405.035637722205</v>
      </c>
      <c r="I27" s="37">
        <v>0</v>
      </c>
      <c r="J27" s="37"/>
      <c r="K27" s="39"/>
      <c r="L27" s="39"/>
      <c r="M27" s="39"/>
    </row>
    <row r="28" spans="1:13" x14ac:dyDescent="0.25">
      <c r="A28" s="6">
        <v>1985</v>
      </c>
      <c r="B28" s="1">
        <v>14994.974981201149</v>
      </c>
      <c r="C28" s="2">
        <v>1975</v>
      </c>
      <c r="D28" s="2">
        <v>173800</v>
      </c>
      <c r="E28" s="2">
        <v>44240</v>
      </c>
      <c r="F28" s="2">
        <v>27650</v>
      </c>
      <c r="G28" s="10">
        <f t="shared" si="0"/>
        <v>262659.97498120111</v>
      </c>
      <c r="I28" s="37">
        <v>1226494</v>
      </c>
      <c r="J28" s="37"/>
      <c r="K28" s="39"/>
      <c r="L28" s="39"/>
      <c r="M28" s="39"/>
    </row>
    <row r="29" spans="1:13" x14ac:dyDescent="0.25">
      <c r="A29" s="6">
        <v>1986</v>
      </c>
      <c r="B29" s="1">
        <v>2084.4113820416815</v>
      </c>
      <c r="C29" s="1">
        <v>2037.2494912242955</v>
      </c>
      <c r="D29" s="2">
        <v>25280</v>
      </c>
      <c r="E29" s="2">
        <v>3160</v>
      </c>
      <c r="F29" s="2">
        <v>3950</v>
      </c>
      <c r="G29" s="10">
        <f t="shared" si="0"/>
        <v>36511.660873265981</v>
      </c>
      <c r="I29" s="37">
        <v>0</v>
      </c>
      <c r="J29" s="37"/>
      <c r="K29" s="39"/>
      <c r="L29" s="39"/>
      <c r="M29" s="39"/>
    </row>
    <row r="30" spans="1:13" x14ac:dyDescent="0.25">
      <c r="A30" s="6">
        <v>1987</v>
      </c>
      <c r="B30" s="1">
        <v>3204.6677015252367</v>
      </c>
      <c r="C30" s="2">
        <v>7900</v>
      </c>
      <c r="D30" s="2">
        <v>22910</v>
      </c>
      <c r="E30" s="2">
        <v>13430</v>
      </c>
      <c r="F30" s="2">
        <v>8690</v>
      </c>
      <c r="G30" s="10">
        <f t="shared" si="0"/>
        <v>56134.667701525235</v>
      </c>
      <c r="I30" s="37">
        <v>114724</v>
      </c>
      <c r="J30" s="37"/>
      <c r="K30" s="39"/>
      <c r="L30" s="39"/>
      <c r="M30" s="39"/>
    </row>
    <row r="31" spans="1:13" x14ac:dyDescent="0.25">
      <c r="A31" s="6">
        <v>1988</v>
      </c>
      <c r="B31" s="1">
        <v>1174.3878768875697</v>
      </c>
      <c r="C31" s="1">
        <v>1147.8161768397295</v>
      </c>
      <c r="D31" s="2">
        <v>15800</v>
      </c>
      <c r="E31" s="2">
        <v>79</v>
      </c>
      <c r="F31" s="2">
        <v>2370</v>
      </c>
      <c r="G31" s="10">
        <f t="shared" si="0"/>
        <v>20571.204053727299</v>
      </c>
      <c r="I31" s="37">
        <v>0</v>
      </c>
      <c r="J31" s="37"/>
      <c r="K31" s="39"/>
      <c r="L31" s="39"/>
      <c r="M31" s="39"/>
    </row>
    <row r="32" spans="1:13" x14ac:dyDescent="0.25">
      <c r="A32" s="6">
        <v>1989</v>
      </c>
      <c r="B32" s="2">
        <v>14220</v>
      </c>
      <c r="C32" s="2">
        <v>11060</v>
      </c>
      <c r="D32" s="2">
        <v>18170</v>
      </c>
      <c r="E32" s="2">
        <v>16590</v>
      </c>
      <c r="F32" s="2">
        <v>15010</v>
      </c>
      <c r="G32" s="10">
        <f t="shared" si="0"/>
        <v>75050</v>
      </c>
      <c r="I32" s="37">
        <v>0</v>
      </c>
      <c r="J32" s="37"/>
      <c r="K32" s="39"/>
      <c r="L32" s="39"/>
      <c r="M32" s="39"/>
    </row>
    <row r="33" spans="1:18" x14ac:dyDescent="0.25">
      <c r="A33" s="6">
        <v>1990</v>
      </c>
      <c r="B33" s="1">
        <v>574.48411297864607</v>
      </c>
      <c r="C33" s="1">
        <v>561.48583542894926</v>
      </c>
      <c r="D33" s="2">
        <v>7900</v>
      </c>
      <c r="E33" s="2">
        <v>790</v>
      </c>
      <c r="F33" s="2">
        <v>237</v>
      </c>
      <c r="G33" s="10">
        <f t="shared" si="0"/>
        <v>10062.969948407595</v>
      </c>
      <c r="I33" s="37">
        <v>0</v>
      </c>
      <c r="J33" s="37"/>
      <c r="K33" s="39"/>
      <c r="L33" s="39"/>
      <c r="M33" s="39"/>
    </row>
    <row r="34" spans="1:18" x14ac:dyDescent="0.25">
      <c r="A34" s="6">
        <v>1991</v>
      </c>
      <c r="B34" s="2">
        <v>395</v>
      </c>
      <c r="C34" s="2">
        <v>948</v>
      </c>
      <c r="D34" s="2">
        <v>18170</v>
      </c>
      <c r="E34" s="2">
        <v>8690</v>
      </c>
      <c r="F34" s="2">
        <v>869</v>
      </c>
      <c r="G34" s="10">
        <f t="shared" si="0"/>
        <v>29072</v>
      </c>
      <c r="I34" s="37">
        <v>0</v>
      </c>
      <c r="J34" s="37"/>
      <c r="K34" s="39"/>
      <c r="L34" s="39"/>
      <c r="M34" s="39"/>
    </row>
    <row r="35" spans="1:18" x14ac:dyDescent="0.25">
      <c r="A35" s="6">
        <v>1992</v>
      </c>
      <c r="B35" s="1">
        <v>772.24256261040091</v>
      </c>
      <c r="C35" s="1">
        <v>754.76980231100254</v>
      </c>
      <c r="D35" s="2">
        <v>6000</v>
      </c>
      <c r="E35" s="2">
        <v>1000</v>
      </c>
      <c r="F35" s="2">
        <v>5000</v>
      </c>
      <c r="G35" s="10">
        <f t="shared" ref="G35:G59" si="1">SUM(B35:F35)</f>
        <v>13527.012364921404</v>
      </c>
      <c r="I35" s="37">
        <v>0</v>
      </c>
      <c r="J35" s="37"/>
      <c r="K35" s="39"/>
      <c r="L35" s="39"/>
      <c r="M35" s="39"/>
    </row>
    <row r="36" spans="1:18" x14ac:dyDescent="0.25">
      <c r="A36" s="6">
        <v>1993</v>
      </c>
      <c r="B36" s="2">
        <v>200</v>
      </c>
      <c r="C36" s="2">
        <v>600</v>
      </c>
      <c r="D36" s="2">
        <v>60000</v>
      </c>
      <c r="E36" s="2">
        <v>13000</v>
      </c>
      <c r="F36" s="2">
        <v>1200</v>
      </c>
      <c r="G36" s="10">
        <f t="shared" si="1"/>
        <v>75000</v>
      </c>
      <c r="I36" s="37">
        <v>0</v>
      </c>
      <c r="J36" s="37"/>
      <c r="K36" s="39"/>
      <c r="L36" s="39"/>
      <c r="M36" s="39"/>
    </row>
    <row r="37" spans="1:18" x14ac:dyDescent="0.25">
      <c r="A37" s="6">
        <v>1994</v>
      </c>
      <c r="B37" s="1">
        <v>1621.7093818142594</v>
      </c>
      <c r="C37" s="1">
        <v>1585.0165848933384</v>
      </c>
      <c r="D37" s="2">
        <v>19750</v>
      </c>
      <c r="E37" s="2">
        <v>3950</v>
      </c>
      <c r="F37" s="2">
        <v>1500</v>
      </c>
      <c r="G37" s="10">
        <f t="shared" si="1"/>
        <v>28406.7259667076</v>
      </c>
      <c r="I37" s="37">
        <v>0</v>
      </c>
      <c r="J37" s="37"/>
      <c r="K37" s="39"/>
      <c r="L37" s="39"/>
      <c r="M37" s="39"/>
      <c r="P37" s="96"/>
      <c r="Q37" s="96"/>
      <c r="R37" s="96"/>
    </row>
    <row r="38" spans="1:18" x14ac:dyDescent="0.25">
      <c r="A38" s="6">
        <v>1995</v>
      </c>
      <c r="B38" s="1">
        <v>8476.355165377101</v>
      </c>
      <c r="C38" s="2">
        <v>9000</v>
      </c>
      <c r="D38" s="2">
        <v>112000</v>
      </c>
      <c r="E38" s="2">
        <v>16000</v>
      </c>
      <c r="F38" s="2">
        <v>3000</v>
      </c>
      <c r="G38" s="10">
        <f t="shared" si="1"/>
        <v>148476.35516537708</v>
      </c>
      <c r="I38" s="37">
        <v>361752</v>
      </c>
      <c r="J38" s="37"/>
      <c r="K38" s="39"/>
      <c r="L38" s="39"/>
      <c r="M38" s="39"/>
      <c r="P38" s="114"/>
      <c r="Q38" s="115"/>
      <c r="R38" s="115"/>
    </row>
    <row r="39" spans="1:18" x14ac:dyDescent="0.25">
      <c r="A39" s="6">
        <v>1996</v>
      </c>
      <c r="B39" s="2">
        <v>100</v>
      </c>
      <c r="C39" s="2">
        <v>1000</v>
      </c>
      <c r="D39" s="2">
        <v>18000</v>
      </c>
      <c r="E39" s="2">
        <v>1500</v>
      </c>
      <c r="F39" s="2">
        <v>12000</v>
      </c>
      <c r="G39" s="10">
        <f t="shared" si="1"/>
        <v>32600</v>
      </c>
      <c r="I39" s="37">
        <v>0</v>
      </c>
      <c r="J39" s="37"/>
      <c r="K39" s="37"/>
      <c r="L39" s="37"/>
      <c r="M39" s="39"/>
      <c r="P39" s="114"/>
      <c r="Q39" s="115"/>
      <c r="R39" s="115"/>
    </row>
    <row r="40" spans="1:18" x14ac:dyDescent="0.25">
      <c r="A40" s="6">
        <v>1997</v>
      </c>
      <c r="B40" s="2">
        <v>28000</v>
      </c>
      <c r="C40" s="2">
        <v>47000</v>
      </c>
      <c r="D40" s="2">
        <v>300000</v>
      </c>
      <c r="E40" s="2">
        <v>85000</v>
      </c>
      <c r="F40" s="2">
        <v>80000</v>
      </c>
      <c r="G40" s="10">
        <f t="shared" si="1"/>
        <v>540000</v>
      </c>
      <c r="I40" s="37">
        <v>24033</v>
      </c>
      <c r="J40" s="37"/>
      <c r="K40" s="37"/>
      <c r="L40" s="37"/>
      <c r="M40" s="39"/>
      <c r="P40" s="114"/>
      <c r="Q40" s="115"/>
      <c r="R40" s="115"/>
    </row>
    <row r="41" spans="1:18" x14ac:dyDescent="0.25">
      <c r="A41" s="7">
        <v>1998</v>
      </c>
      <c r="B41" s="1">
        <v>3148.3604866397568</v>
      </c>
      <c r="C41" s="3">
        <v>3000</v>
      </c>
      <c r="D41" s="3">
        <v>30000</v>
      </c>
      <c r="E41" s="3">
        <v>2000</v>
      </c>
      <c r="F41" s="3">
        <v>17000</v>
      </c>
      <c r="G41" s="10">
        <f t="shared" si="1"/>
        <v>55148.360486639758</v>
      </c>
      <c r="I41" s="37">
        <v>0</v>
      </c>
      <c r="J41" s="37"/>
      <c r="K41" s="37"/>
      <c r="L41" s="37"/>
      <c r="M41" s="39"/>
      <c r="P41" s="114"/>
      <c r="Q41" s="115"/>
      <c r="R41" s="115"/>
    </row>
    <row r="42" spans="1:18" x14ac:dyDescent="0.25">
      <c r="A42" s="8">
        <v>1999</v>
      </c>
      <c r="B42" s="3">
        <v>15000</v>
      </c>
      <c r="C42" s="3">
        <v>45000</v>
      </c>
      <c r="D42" s="3">
        <v>550000</v>
      </c>
      <c r="E42" s="3">
        <v>300000</v>
      </c>
      <c r="F42" s="3">
        <v>36000</v>
      </c>
      <c r="G42" s="10">
        <f t="shared" si="1"/>
        <v>946000</v>
      </c>
      <c r="I42" s="37">
        <v>144090</v>
      </c>
      <c r="J42" s="37"/>
      <c r="K42" s="37"/>
      <c r="L42" s="37"/>
      <c r="M42" s="39"/>
      <c r="P42" s="114"/>
      <c r="Q42" s="115"/>
      <c r="R42" s="115"/>
    </row>
    <row r="43" spans="1:18" x14ac:dyDescent="0.25">
      <c r="A43" s="8">
        <v>2000</v>
      </c>
      <c r="B43" s="1">
        <v>6443.8863424815136</v>
      </c>
      <c r="C43" s="1">
        <v>7400.8400873058017</v>
      </c>
      <c r="D43" s="3">
        <v>20000</v>
      </c>
      <c r="E43" s="3">
        <v>3000</v>
      </c>
      <c r="F43" s="3">
        <v>4000</v>
      </c>
      <c r="G43" s="10">
        <f t="shared" si="1"/>
        <v>40844.726429787319</v>
      </c>
      <c r="I43" s="37">
        <v>0</v>
      </c>
      <c r="J43" s="37"/>
      <c r="K43" s="37"/>
      <c r="L43" s="37"/>
      <c r="M43" s="39"/>
      <c r="P43" s="114"/>
      <c r="Q43" s="115"/>
      <c r="R43" s="115"/>
    </row>
    <row r="44" spans="1:18" x14ac:dyDescent="0.25">
      <c r="A44" s="8">
        <v>2001</v>
      </c>
      <c r="B44" s="3">
        <v>25000</v>
      </c>
      <c r="C44" s="3">
        <v>60000</v>
      </c>
      <c r="D44" s="3">
        <v>320000</v>
      </c>
      <c r="E44" s="3">
        <v>167000</v>
      </c>
      <c r="F44" s="3">
        <v>80000</v>
      </c>
      <c r="G44" s="10">
        <f t="shared" si="1"/>
        <v>652000</v>
      </c>
      <c r="H44" s="65"/>
      <c r="I44" s="64">
        <v>529181</v>
      </c>
      <c r="J44" s="64"/>
      <c r="K44" s="64"/>
      <c r="L44" s="64"/>
      <c r="M44" s="39"/>
      <c r="P44" s="93"/>
      <c r="Q44" s="131"/>
      <c r="R44" s="131"/>
    </row>
    <row r="45" spans="1:18" x14ac:dyDescent="0.25">
      <c r="A45" s="9">
        <v>2002</v>
      </c>
      <c r="B45" s="1">
        <v>8545.1982551622186</v>
      </c>
      <c r="C45" s="5">
        <v>9680</v>
      </c>
      <c r="D45" s="5">
        <v>64130</v>
      </c>
      <c r="E45" s="1">
        <v>34826.985091546892</v>
      </c>
      <c r="F45" s="5">
        <v>30250</v>
      </c>
      <c r="G45" s="10">
        <f t="shared" si="1"/>
        <v>147432.18334670912</v>
      </c>
      <c r="I45" s="37">
        <v>0</v>
      </c>
      <c r="J45" s="37"/>
      <c r="K45" s="37"/>
      <c r="L45" s="37"/>
      <c r="M45" s="39"/>
      <c r="P45" s="114"/>
      <c r="Q45" s="115"/>
      <c r="R45" s="115"/>
    </row>
    <row r="46" spans="1:18" x14ac:dyDescent="0.25">
      <c r="A46" s="9">
        <v>2003</v>
      </c>
      <c r="B46" s="5">
        <v>16380</v>
      </c>
      <c r="C46" s="5">
        <v>28080</v>
      </c>
      <c r="D46" s="5">
        <v>149760</v>
      </c>
      <c r="E46" s="5">
        <v>64350</v>
      </c>
      <c r="F46" s="5">
        <v>77220</v>
      </c>
      <c r="G46" s="10">
        <f t="shared" si="1"/>
        <v>335790</v>
      </c>
      <c r="I46" s="37">
        <v>9615</v>
      </c>
      <c r="J46" s="37"/>
      <c r="K46" s="37"/>
      <c r="L46" s="37"/>
      <c r="M46" s="39"/>
      <c r="P46" s="114"/>
      <c r="Q46" s="115"/>
      <c r="R46" s="115"/>
    </row>
    <row r="47" spans="1:18" x14ac:dyDescent="0.25">
      <c r="A47" s="8">
        <v>2004</v>
      </c>
      <c r="B47" s="5">
        <v>11000</v>
      </c>
      <c r="C47" s="5">
        <v>18000</v>
      </c>
      <c r="D47" s="5">
        <v>25000</v>
      </c>
      <c r="E47" s="5">
        <v>2000</v>
      </c>
      <c r="F47" s="5">
        <v>31000</v>
      </c>
      <c r="G47" s="10">
        <f t="shared" si="1"/>
        <v>87000</v>
      </c>
      <c r="I47" s="37">
        <v>0</v>
      </c>
      <c r="J47" s="64">
        <f t="shared" ref="J47:J56" si="2">I47+G47</f>
        <v>87000</v>
      </c>
      <c r="K47" s="37"/>
      <c r="L47" s="37"/>
      <c r="M47" s="39"/>
      <c r="P47" s="114"/>
      <c r="Q47" s="115"/>
      <c r="R47" s="115"/>
    </row>
    <row r="48" spans="1:18" ht="13.8" thickBot="1" x14ac:dyDescent="0.3">
      <c r="A48" s="8">
        <v>2005</v>
      </c>
      <c r="B48" s="5">
        <v>40000</v>
      </c>
      <c r="C48" s="5">
        <v>70000</v>
      </c>
      <c r="D48" s="5">
        <v>285000</v>
      </c>
      <c r="E48" s="5">
        <v>80000</v>
      </c>
      <c r="F48" s="5">
        <v>64000</v>
      </c>
      <c r="G48" s="10">
        <f t="shared" si="1"/>
        <v>539000</v>
      </c>
      <c r="I48" s="37">
        <v>174741</v>
      </c>
      <c r="J48" s="64">
        <f t="shared" si="2"/>
        <v>713741</v>
      </c>
      <c r="K48" s="37"/>
      <c r="L48" s="37"/>
      <c r="M48" s="39"/>
      <c r="P48" s="114"/>
      <c r="Q48" s="115"/>
      <c r="R48" s="115"/>
    </row>
    <row r="49" spans="1:18" x14ac:dyDescent="0.25">
      <c r="A49" s="9">
        <v>2006</v>
      </c>
      <c r="B49" s="11">
        <v>18000</v>
      </c>
      <c r="C49" s="11">
        <v>41000</v>
      </c>
      <c r="D49" s="11">
        <v>81000</v>
      </c>
      <c r="E49" s="11">
        <v>25000</v>
      </c>
      <c r="F49" s="11">
        <v>68000</v>
      </c>
      <c r="G49" s="109">
        <f t="shared" si="1"/>
        <v>233000</v>
      </c>
      <c r="I49" s="64">
        <v>113049</v>
      </c>
      <c r="J49" s="64">
        <f t="shared" si="2"/>
        <v>346049</v>
      </c>
      <c r="K49" s="195" t="s">
        <v>289</v>
      </c>
      <c r="L49" s="196"/>
      <c r="M49" s="39"/>
      <c r="P49" s="114"/>
      <c r="Q49" s="115"/>
      <c r="R49" s="115"/>
    </row>
    <row r="50" spans="1:18" ht="13.8" thickBot="1" x14ac:dyDescent="0.3">
      <c r="A50" s="9">
        <v>2007</v>
      </c>
      <c r="B50" s="11">
        <v>12000</v>
      </c>
      <c r="C50" s="11">
        <v>36000</v>
      </c>
      <c r="D50" s="11">
        <v>204000</v>
      </c>
      <c r="E50" s="11">
        <v>108000</v>
      </c>
      <c r="F50" s="11">
        <v>68000</v>
      </c>
      <c r="G50" s="10">
        <f t="shared" si="1"/>
        <v>428000</v>
      </c>
      <c r="I50" s="64">
        <v>742350</v>
      </c>
      <c r="J50" s="64">
        <f t="shared" si="2"/>
        <v>1170350</v>
      </c>
      <c r="K50" s="50">
        <v>70000</v>
      </c>
      <c r="L50" s="51">
        <v>170000</v>
      </c>
      <c r="M50" s="39"/>
      <c r="P50" s="114"/>
      <c r="Q50" s="115"/>
      <c r="R50" s="115"/>
    </row>
    <row r="51" spans="1:18" ht="13.8" thickBot="1" x14ac:dyDescent="0.3">
      <c r="A51" s="48">
        <v>2008</v>
      </c>
      <c r="B51" s="11">
        <v>14000</v>
      </c>
      <c r="C51" s="11">
        <v>35000</v>
      </c>
      <c r="D51" s="11">
        <v>90000</v>
      </c>
      <c r="E51" s="11">
        <v>25000</v>
      </c>
      <c r="F51" s="11">
        <v>84000</v>
      </c>
      <c r="G51" s="109">
        <f t="shared" si="1"/>
        <v>248000</v>
      </c>
      <c r="I51" s="64">
        <v>81489</v>
      </c>
      <c r="J51" s="64">
        <f t="shared" si="2"/>
        <v>329489</v>
      </c>
      <c r="K51" s="175">
        <v>80000</v>
      </c>
      <c r="L51" s="176">
        <v>270000</v>
      </c>
      <c r="M51" s="39"/>
      <c r="P51" s="114"/>
      <c r="Q51" s="115"/>
      <c r="R51" s="115"/>
    </row>
    <row r="52" spans="1:18" x14ac:dyDescent="0.25">
      <c r="A52" s="48">
        <v>2009</v>
      </c>
      <c r="B52" s="11">
        <v>13000</v>
      </c>
      <c r="C52" s="11">
        <v>27000</v>
      </c>
      <c r="D52" s="11">
        <v>175000</v>
      </c>
      <c r="E52" s="11">
        <v>53000</v>
      </c>
      <c r="F52" s="11">
        <v>75000</v>
      </c>
      <c r="G52" s="10">
        <f t="shared" si="1"/>
        <v>343000</v>
      </c>
      <c r="I52" s="64">
        <v>603534</v>
      </c>
      <c r="J52" s="64">
        <f t="shared" si="2"/>
        <v>946534</v>
      </c>
      <c r="K52" s="30"/>
      <c r="L52" s="30"/>
      <c r="M52" s="39"/>
      <c r="P52" s="114"/>
      <c r="Q52" s="115"/>
      <c r="R52" s="115"/>
    </row>
    <row r="53" spans="1:18" x14ac:dyDescent="0.25">
      <c r="A53" s="48">
        <v>2010</v>
      </c>
      <c r="B53" s="11">
        <v>7000</v>
      </c>
      <c r="C53" s="11">
        <v>32000</v>
      </c>
      <c r="D53" s="11">
        <v>102000</v>
      </c>
      <c r="E53" s="11">
        <v>13000</v>
      </c>
      <c r="F53" s="11">
        <v>95000</v>
      </c>
      <c r="G53" s="109">
        <f t="shared" si="1"/>
        <v>249000</v>
      </c>
      <c r="I53" s="64">
        <v>165409</v>
      </c>
      <c r="J53" s="64">
        <f t="shared" si="2"/>
        <v>414409</v>
      </c>
      <c r="K53" s="30"/>
      <c r="L53" s="30"/>
      <c r="M53" s="39"/>
      <c r="P53" s="114"/>
      <c r="Q53" s="115"/>
      <c r="R53" s="115"/>
    </row>
    <row r="54" spans="1:18" x14ac:dyDescent="0.25">
      <c r="A54" s="48">
        <v>2011</v>
      </c>
      <c r="B54" s="11">
        <v>12000</v>
      </c>
      <c r="C54" s="11">
        <v>60000</v>
      </c>
      <c r="D54" s="11">
        <v>200000</v>
      </c>
      <c r="E54" s="11">
        <v>45000</v>
      </c>
      <c r="F54" s="11">
        <v>80000</v>
      </c>
      <c r="G54" s="10">
        <f t="shared" si="1"/>
        <v>397000</v>
      </c>
      <c r="I54" s="64">
        <v>1661577</v>
      </c>
      <c r="J54" s="64">
        <f t="shared" si="2"/>
        <v>2058577</v>
      </c>
      <c r="K54" s="30"/>
      <c r="L54" s="82"/>
      <c r="M54" s="56"/>
      <c r="P54" s="114"/>
      <c r="Q54" s="115"/>
      <c r="R54" s="115"/>
    </row>
    <row r="55" spans="1:18" x14ac:dyDescent="0.25">
      <c r="A55" s="48">
        <v>2012</v>
      </c>
      <c r="B55" s="90">
        <v>7000</v>
      </c>
      <c r="C55" s="90">
        <v>56000</v>
      </c>
      <c r="D55" s="90">
        <v>89000</v>
      </c>
      <c r="E55" s="90">
        <v>31000</v>
      </c>
      <c r="F55" s="90">
        <v>90000</v>
      </c>
      <c r="G55" s="109">
        <f t="shared" si="1"/>
        <v>273000</v>
      </c>
      <c r="I55" s="64">
        <v>55445</v>
      </c>
      <c r="J55" s="64">
        <f t="shared" si="2"/>
        <v>328445</v>
      </c>
      <c r="K55" s="30"/>
      <c r="L55" s="82"/>
      <c r="M55" s="56"/>
      <c r="P55" s="114"/>
      <c r="Q55" s="115"/>
      <c r="R55" s="115"/>
    </row>
    <row r="56" spans="1:18" x14ac:dyDescent="0.25">
      <c r="A56" s="48">
        <v>2013</v>
      </c>
      <c r="B56" s="90">
        <v>45000</v>
      </c>
      <c r="C56" s="90">
        <v>87000</v>
      </c>
      <c r="D56" s="90">
        <v>386000</v>
      </c>
      <c r="E56" s="90">
        <v>91000</v>
      </c>
      <c r="F56" s="90">
        <v>180000</v>
      </c>
      <c r="G56" s="10">
        <f t="shared" si="1"/>
        <v>789000</v>
      </c>
      <c r="I56" s="64">
        <v>2402550</v>
      </c>
      <c r="J56" s="64">
        <f t="shared" si="2"/>
        <v>3191550</v>
      </c>
      <c r="K56" s="30"/>
      <c r="L56" s="82"/>
      <c r="M56" s="56"/>
      <c r="P56" s="114"/>
      <c r="Q56" s="115"/>
      <c r="R56" s="115"/>
    </row>
    <row r="57" spans="1:18" x14ac:dyDescent="0.25">
      <c r="A57" s="48">
        <v>2014</v>
      </c>
      <c r="B57" s="90">
        <v>10000</v>
      </c>
      <c r="C57" s="90">
        <v>40000</v>
      </c>
      <c r="D57" s="90">
        <v>75000</v>
      </c>
      <c r="E57" s="90">
        <v>33000</v>
      </c>
      <c r="F57" s="90">
        <v>110000</v>
      </c>
      <c r="G57" s="109">
        <f t="shared" si="1"/>
        <v>268000</v>
      </c>
      <c r="I57" s="64">
        <v>6763</v>
      </c>
      <c r="J57" s="64">
        <f>I57+G57</f>
        <v>274763</v>
      </c>
      <c r="K57" s="30"/>
      <c r="L57" s="82"/>
      <c r="M57" s="56"/>
      <c r="P57" s="114"/>
      <c r="Q57" s="115"/>
      <c r="R57" s="115"/>
    </row>
    <row r="58" spans="1:18" x14ac:dyDescent="0.25">
      <c r="A58" s="48">
        <v>2015</v>
      </c>
      <c r="B58" s="90">
        <v>23000</v>
      </c>
      <c r="C58" s="90">
        <v>80000</v>
      </c>
      <c r="D58" s="90">
        <v>225000</v>
      </c>
      <c r="E58" s="90">
        <v>50000</v>
      </c>
      <c r="F58" s="90">
        <v>116000</v>
      </c>
      <c r="G58" s="10">
        <f t="shared" si="1"/>
        <v>494000</v>
      </c>
      <c r="I58" s="131">
        <v>1480070</v>
      </c>
      <c r="J58" s="64">
        <f>I58+G58</f>
        <v>1974070</v>
      </c>
      <c r="K58" s="30"/>
      <c r="L58" s="82"/>
      <c r="M58" s="56"/>
      <c r="P58" s="114"/>
      <c r="Q58" s="115"/>
      <c r="R58" s="115"/>
    </row>
    <row r="59" spans="1:18" x14ac:dyDescent="0.25">
      <c r="A59" s="48">
        <v>2016</v>
      </c>
      <c r="B59" s="90">
        <v>18000</v>
      </c>
      <c r="C59" s="90">
        <v>35000</v>
      </c>
      <c r="D59" s="90">
        <v>100000</v>
      </c>
      <c r="E59" s="90">
        <v>13000</v>
      </c>
      <c r="F59" s="90">
        <v>55000</v>
      </c>
      <c r="G59" s="10">
        <f t="shared" si="1"/>
        <v>221000</v>
      </c>
      <c r="I59" s="64">
        <v>5318</v>
      </c>
      <c r="J59" s="64">
        <f t="shared" ref="J59:J63" si="3">I59+G59</f>
        <v>226318</v>
      </c>
      <c r="K59" s="30"/>
      <c r="L59" s="82"/>
      <c r="M59" s="56"/>
      <c r="P59" s="114"/>
      <c r="Q59" s="115"/>
      <c r="R59" s="115"/>
    </row>
    <row r="60" spans="1:18" x14ac:dyDescent="0.25">
      <c r="A60" s="48">
        <v>2017</v>
      </c>
      <c r="B60" s="90">
        <v>15000</v>
      </c>
      <c r="C60" s="90">
        <v>80000</v>
      </c>
      <c r="D60" s="90">
        <v>480000</v>
      </c>
      <c r="E60" s="90">
        <v>170000</v>
      </c>
      <c r="F60" s="90">
        <v>110000</v>
      </c>
      <c r="G60" s="10">
        <f t="shared" ref="G60:G64" si="4">SUM(B60:F60)</f>
        <v>855000</v>
      </c>
      <c r="I60" s="64">
        <v>3521926</v>
      </c>
      <c r="J60" s="64">
        <f t="shared" si="3"/>
        <v>4376926</v>
      </c>
      <c r="K60" s="30"/>
      <c r="L60" s="82"/>
      <c r="M60" s="56"/>
      <c r="P60" s="114"/>
      <c r="Q60" s="115"/>
      <c r="R60" s="115"/>
    </row>
    <row r="61" spans="1:18" x14ac:dyDescent="0.25">
      <c r="A61" s="48">
        <v>2018</v>
      </c>
      <c r="B61" s="90">
        <v>7000</v>
      </c>
      <c r="C61" s="90">
        <v>22000</v>
      </c>
      <c r="D61" s="90">
        <v>104000</v>
      </c>
      <c r="E61" s="90">
        <v>18000</v>
      </c>
      <c r="F61" s="90">
        <v>49000</v>
      </c>
      <c r="G61" s="10">
        <f t="shared" si="4"/>
        <v>200000</v>
      </c>
      <c r="I61" s="37">
        <v>0</v>
      </c>
      <c r="J61" s="64">
        <f t="shared" si="3"/>
        <v>200000</v>
      </c>
      <c r="K61" s="30"/>
      <c r="L61" s="82"/>
      <c r="M61" s="56"/>
      <c r="P61" s="114"/>
      <c r="Q61" s="115"/>
      <c r="R61" s="115"/>
    </row>
    <row r="62" spans="1:18" x14ac:dyDescent="0.25">
      <c r="A62" s="48">
        <v>2019</v>
      </c>
      <c r="B62" s="90">
        <v>18100</v>
      </c>
      <c r="C62" s="90">
        <v>20500</v>
      </c>
      <c r="D62" s="90">
        <v>130000</v>
      </c>
      <c r="E62" s="90">
        <v>85000</v>
      </c>
      <c r="F62" s="90">
        <v>29200</v>
      </c>
      <c r="G62" s="10">
        <f t="shared" si="4"/>
        <v>282800</v>
      </c>
      <c r="I62" s="37">
        <v>208220</v>
      </c>
      <c r="J62" s="64">
        <f t="shared" si="3"/>
        <v>491020</v>
      </c>
      <c r="K62" s="30"/>
      <c r="L62" s="82"/>
      <c r="M62" s="56"/>
      <c r="P62" s="114"/>
      <c r="Q62" s="115"/>
      <c r="R62" s="115"/>
    </row>
    <row r="63" spans="1:18" x14ac:dyDescent="0.25">
      <c r="A63" s="48">
        <v>2020</v>
      </c>
      <c r="B63" s="90">
        <v>10000</v>
      </c>
      <c r="C63" s="90">
        <v>9000</v>
      </c>
      <c r="D63" s="90">
        <v>62000</v>
      </c>
      <c r="E63" s="90">
        <v>13000</v>
      </c>
      <c r="F63" s="90">
        <v>24000</v>
      </c>
      <c r="G63" s="10">
        <f t="shared" si="4"/>
        <v>118000</v>
      </c>
      <c r="I63" s="37"/>
      <c r="J63" s="64">
        <f t="shared" si="3"/>
        <v>118000</v>
      </c>
      <c r="K63" s="30"/>
      <c r="L63" s="82"/>
      <c r="M63" s="56"/>
      <c r="P63" s="114"/>
      <c r="Q63" s="115"/>
      <c r="R63" s="115"/>
    </row>
    <row r="64" spans="1:18" x14ac:dyDescent="0.25">
      <c r="A64" s="48">
        <v>2021</v>
      </c>
      <c r="B64" s="90">
        <v>13000</v>
      </c>
      <c r="C64" s="90">
        <v>45000</v>
      </c>
      <c r="D64" s="90">
        <v>251000</v>
      </c>
      <c r="E64" s="90">
        <v>100000</v>
      </c>
      <c r="F64" s="90">
        <v>79000</v>
      </c>
      <c r="G64" s="10">
        <f t="shared" si="4"/>
        <v>488000</v>
      </c>
      <c r="I64" s="37">
        <v>277807</v>
      </c>
      <c r="J64" s="64">
        <f>I64+G64</f>
        <v>765807</v>
      </c>
      <c r="K64" s="30"/>
      <c r="L64" s="82"/>
      <c r="M64" s="56"/>
      <c r="P64" s="114"/>
      <c r="Q64" s="115"/>
      <c r="R64" s="115"/>
    </row>
    <row r="65" spans="1:18" x14ac:dyDescent="0.25">
      <c r="A65" s="48">
        <v>2022</v>
      </c>
      <c r="B65" s="90">
        <v>500</v>
      </c>
      <c r="C65" s="90">
        <v>7000</v>
      </c>
      <c r="D65" s="90">
        <v>20000</v>
      </c>
      <c r="E65" s="90">
        <v>18000</v>
      </c>
      <c r="F65" s="90">
        <v>17500</v>
      </c>
      <c r="G65" s="10">
        <f>SUM(B65:F65)</f>
        <v>63000</v>
      </c>
      <c r="I65" s="37"/>
      <c r="J65" s="64">
        <f t="shared" ref="J65:J67" si="5">I65+G65</f>
        <v>63000</v>
      </c>
      <c r="K65" s="30"/>
      <c r="L65" s="82"/>
      <c r="M65" s="56"/>
      <c r="P65" s="114"/>
      <c r="Q65" s="115"/>
      <c r="R65" s="115"/>
    </row>
    <row r="66" spans="1:18" x14ac:dyDescent="0.25">
      <c r="A66" s="48">
        <v>2023</v>
      </c>
      <c r="B66" s="90">
        <v>21000</v>
      </c>
      <c r="C66" s="90">
        <v>49000</v>
      </c>
      <c r="D66" s="90">
        <v>217000</v>
      </c>
      <c r="E66" s="90">
        <v>80000</v>
      </c>
      <c r="F66" s="90">
        <v>63000</v>
      </c>
      <c r="G66" s="10">
        <f>SUM(B66:F66)</f>
        <v>430000</v>
      </c>
      <c r="I66" s="64">
        <v>505247</v>
      </c>
      <c r="J66" s="64">
        <f t="shared" si="5"/>
        <v>935247</v>
      </c>
      <c r="K66" s="30"/>
      <c r="L66" s="82"/>
      <c r="M66" s="56"/>
      <c r="P66" s="114"/>
      <c r="Q66" s="115"/>
      <c r="R66" s="115"/>
    </row>
    <row r="67" spans="1:18" x14ac:dyDescent="0.25">
      <c r="A67" s="48">
        <v>2024</v>
      </c>
      <c r="B67" s="191">
        <v>13000</v>
      </c>
      <c r="C67" s="191">
        <v>12000</v>
      </c>
      <c r="D67" s="191">
        <v>95000</v>
      </c>
      <c r="E67" s="191">
        <v>95000</v>
      </c>
      <c r="F67" s="191">
        <v>76000</v>
      </c>
      <c r="G67" s="10">
        <f>SUM(B67:F67)</f>
        <v>291000</v>
      </c>
      <c r="I67" s="64">
        <v>74273</v>
      </c>
      <c r="J67" s="64">
        <f t="shared" si="5"/>
        <v>365273</v>
      </c>
      <c r="K67" s="30"/>
      <c r="L67" s="82"/>
      <c r="M67" s="56"/>
      <c r="P67" s="114"/>
      <c r="Q67" s="115"/>
      <c r="R67" s="115"/>
    </row>
    <row r="68" spans="1:18" ht="13.8" x14ac:dyDescent="0.25">
      <c r="A68" s="66" t="s">
        <v>108</v>
      </c>
      <c r="B68" s="128">
        <f>AVERAGE(B3:B67)</f>
        <v>8627.7724880930891</v>
      </c>
      <c r="C68" s="128">
        <f>AVERAGE(C3:C67)</f>
        <v>17996.279032594968</v>
      </c>
      <c r="D68" s="128">
        <f>AVERAGE(D3:D67)</f>
        <v>95042.634208033545</v>
      </c>
      <c r="E68" s="128">
        <f>AVERAGE(E3:E67)</f>
        <v>32246.881160642501</v>
      </c>
      <c r="F68" s="128">
        <f>AVERAGE(F3:F67)</f>
        <v>34604.506613972815</v>
      </c>
      <c r="G68" s="128">
        <f t="shared" ref="G68:H68" si="6">AVERAGE(G3:G66)</f>
        <v>186916.79340182655</v>
      </c>
      <c r="H68" s="128" t="e">
        <f t="shared" si="6"/>
        <v>#DIV/0!</v>
      </c>
      <c r="I68" s="128">
        <f>AVERAGE(I3:I67)</f>
        <v>266127.03225806454</v>
      </c>
      <c r="J68" s="33"/>
      <c r="K68" s="10"/>
    </row>
    <row r="69" spans="1:18" ht="13.8" x14ac:dyDescent="0.25">
      <c r="A69" s="22" t="s">
        <v>360</v>
      </c>
      <c r="B69" s="92">
        <f>AVERAGE(B57:B66)</f>
        <v>13560</v>
      </c>
      <c r="C69" s="92">
        <f t="shared" ref="C69:H69" si="7">AVERAGE(C57:C66)</f>
        <v>38750</v>
      </c>
      <c r="D69" s="92">
        <f t="shared" si="7"/>
        <v>166400</v>
      </c>
      <c r="E69" s="92">
        <f t="shared" si="7"/>
        <v>58000</v>
      </c>
      <c r="F69" s="92">
        <f t="shared" si="7"/>
        <v>65270</v>
      </c>
      <c r="G69" s="92">
        <f t="shared" si="7"/>
        <v>341980</v>
      </c>
      <c r="H69" s="92" t="e">
        <f t="shared" si="7"/>
        <v>#DIV/0!</v>
      </c>
      <c r="I69" s="92">
        <f>AVERAGE(I57:I66)</f>
        <v>750668.875</v>
      </c>
      <c r="J69" s="92">
        <f>AVERAGE(J57:J66)</f>
        <v>942515.1</v>
      </c>
      <c r="K69" s="10"/>
    </row>
    <row r="70" spans="1:18" ht="13.8" x14ac:dyDescent="0.25">
      <c r="A70" s="22" t="s">
        <v>361</v>
      </c>
      <c r="B70" s="96">
        <f>RANK(B67,B3:B67)</f>
        <v>16</v>
      </c>
      <c r="C70" s="96">
        <f t="shared" ref="C70:G70" si="8">RANK(C66,C3:C66)</f>
        <v>8</v>
      </c>
      <c r="D70" s="96">
        <f t="shared" si="8"/>
        <v>9</v>
      </c>
      <c r="E70" s="96">
        <f t="shared" si="8"/>
        <v>9</v>
      </c>
      <c r="F70" s="96">
        <f t="shared" si="8"/>
        <v>17</v>
      </c>
      <c r="G70" s="96">
        <f t="shared" si="8"/>
        <v>9</v>
      </c>
      <c r="H70" s="96"/>
      <c r="I70" s="96">
        <f>RANK(I66,I3:I66)</f>
        <v>10</v>
      </c>
      <c r="K70" s="10"/>
    </row>
    <row r="71" spans="1:18" ht="13.8" x14ac:dyDescent="0.25">
      <c r="A71" s="23" t="s">
        <v>362</v>
      </c>
      <c r="B71" s="129">
        <f>B65/B69</f>
        <v>3.687315634218289E-2</v>
      </c>
      <c r="C71" s="129">
        <f t="shared" ref="C71:I71" si="9">C65/C69</f>
        <v>0.18064516129032257</v>
      </c>
      <c r="D71" s="129">
        <f t="shared" si="9"/>
        <v>0.1201923076923077</v>
      </c>
      <c r="E71" s="129">
        <f t="shared" si="9"/>
        <v>0.31034482758620691</v>
      </c>
      <c r="F71" s="129">
        <f t="shared" si="9"/>
        <v>0.26811705224452276</v>
      </c>
      <c r="G71" s="129">
        <f t="shared" si="9"/>
        <v>0.18422129949119831</v>
      </c>
      <c r="H71" s="129" t="e">
        <f t="shared" si="9"/>
        <v>#DIV/0!</v>
      </c>
      <c r="I71" s="129">
        <f t="shared" si="9"/>
        <v>0</v>
      </c>
      <c r="J71" s="49"/>
      <c r="K71" s="10"/>
    </row>
    <row r="72" spans="1:18" ht="13.8" x14ac:dyDescent="0.25">
      <c r="A72" s="22" t="s">
        <v>109</v>
      </c>
      <c r="B72" s="30">
        <f>AVERAGE(B57,B55,B53,B51,B49,B47,B45,B43,B41,B39,B37,B35,B33,B31,B29,B27,B25,B23,B21,B19,B17,B15,B13,B11,B9,B7,B5,B3, B59,B61,B63,B65)</f>
        <v>4352.8240030567449</v>
      </c>
      <c r="C72" s="30">
        <f t="shared" ref="C72:I72" si="10">AVERAGE(C57,C55,C53,C51,C49,C47,C45,C43,C41,C39,C37,C35,C33,C31,C29,C27,C25,C23,C21,C19,C17,C15,C13,C11,C9,C7,C5,C3, C59,C61,C63,C65)</f>
        <v>10366.441714103181</v>
      </c>
      <c r="D72" s="30">
        <f t="shared" si="10"/>
        <v>33084.0625</v>
      </c>
      <c r="E72" s="30">
        <f t="shared" si="10"/>
        <v>8050.6311469916482</v>
      </c>
      <c r="F72" s="30">
        <f t="shared" si="10"/>
        <v>24177.545672054672</v>
      </c>
      <c r="G72" s="30">
        <f t="shared" si="10"/>
        <v>80031.505036206247</v>
      </c>
      <c r="H72" s="30"/>
      <c r="I72" s="30">
        <f t="shared" si="10"/>
        <v>14832.620689655172</v>
      </c>
      <c r="J72" s="30"/>
      <c r="K72" s="10"/>
    </row>
    <row r="73" spans="1:18" ht="13.8" x14ac:dyDescent="0.25">
      <c r="A73" s="23" t="s">
        <v>364</v>
      </c>
      <c r="B73" s="57">
        <f>AVERAGE(B57,B55,B53,B51,B49,B47,B63,B59,B61,B65)</f>
        <v>10250</v>
      </c>
      <c r="C73" s="57">
        <f t="shared" ref="C73:I73" si="11">AVERAGE(C57,C55,C53,C51,C49,C47,C63,C59,C61,C65)</f>
        <v>29500</v>
      </c>
      <c r="D73" s="57">
        <f>AVERAGE(D57,D55,D53,D51,D49,D47,D63,D59,D61,D65)</f>
        <v>74800</v>
      </c>
      <c r="E73" s="57">
        <f t="shared" si="11"/>
        <v>19100</v>
      </c>
      <c r="F73" s="57">
        <f t="shared" si="11"/>
        <v>62350</v>
      </c>
      <c r="G73" s="57">
        <f t="shared" si="11"/>
        <v>196000</v>
      </c>
      <c r="H73" s="57"/>
      <c r="I73" s="57">
        <f t="shared" si="11"/>
        <v>53434.125</v>
      </c>
      <c r="J73" s="30"/>
      <c r="K73" s="10"/>
    </row>
    <row r="74" spans="1:18" ht="13.8" x14ac:dyDescent="0.25">
      <c r="A74" s="22" t="s">
        <v>110</v>
      </c>
      <c r="B74" s="30">
        <f>AVERAGE(B60,B56,B54,B52,B50,B48,B46,B44,B42,B40,B38,B36,B34,B32,B30,B28,B26,B24,B22,B20,B18,B16,B14,B12,B10,B8,B6,B4,B58,B62,B64,B66)</f>
        <v>12766.088863382347</v>
      </c>
      <c r="C74" s="30">
        <f t="shared" ref="C74:I74" si="12">AVERAGE(C60,C56,C54,C52,C50,C48,C46,C44,C42,C40,C38,C36,C34,C32,C30,C28,C26,C24,C22,C20,C18,C16,C14,C12,C10,C8,C6,C4,C58,C62,C64,C66)</f>
        <v>25813.500070855349</v>
      </c>
      <c r="D74" s="30">
        <f t="shared" si="12"/>
        <v>157002.53823506815</v>
      </c>
      <c r="E74" s="30">
        <f t="shared" si="12"/>
        <v>54482.096210563424</v>
      </c>
      <c r="F74" s="30">
        <f t="shared" si="12"/>
        <v>43737.858387577609</v>
      </c>
      <c r="G74" s="30">
        <f t="shared" si="12"/>
        <v>293802.08176744694</v>
      </c>
      <c r="H74" s="30"/>
      <c r="I74" s="30">
        <f t="shared" si="12"/>
        <v>499858.03125</v>
      </c>
      <c r="J74" s="30"/>
      <c r="K74" s="10"/>
    </row>
    <row r="75" spans="1:18" ht="13.8" x14ac:dyDescent="0.25">
      <c r="A75" s="22" t="s">
        <v>365</v>
      </c>
      <c r="B75" s="36">
        <f>AVERAGE(B60,B56,B54,B52,B50,B48,B66,B64,B58,B62)</f>
        <v>21210</v>
      </c>
      <c r="C75" s="36">
        <f t="shared" ref="C75:I75" si="13">AVERAGE(C60,C56,C54,C52,C50,C48,C66,C64,C58,C62)</f>
        <v>55450</v>
      </c>
      <c r="D75" s="36">
        <f t="shared" si="13"/>
        <v>255300</v>
      </c>
      <c r="E75" s="36">
        <f t="shared" si="13"/>
        <v>86200</v>
      </c>
      <c r="F75" s="36">
        <f t="shared" si="13"/>
        <v>86420</v>
      </c>
      <c r="G75" s="36">
        <f t="shared" si="13"/>
        <v>504580</v>
      </c>
      <c r="H75" s="36" t="e">
        <f t="shared" si="13"/>
        <v>#DIV/0!</v>
      </c>
      <c r="I75" s="36">
        <f t="shared" si="13"/>
        <v>1157802.2</v>
      </c>
      <c r="J75" s="36"/>
      <c r="K75" s="10"/>
    </row>
    <row r="76" spans="1:18" x14ac:dyDescent="0.25">
      <c r="B76" s="2"/>
      <c r="C76" s="2"/>
      <c r="D76" s="2"/>
      <c r="E76" s="2"/>
      <c r="F76" s="2"/>
      <c r="G76" s="2"/>
      <c r="H76" s="31"/>
      <c r="I76" s="33"/>
      <c r="J76" s="33"/>
      <c r="K76" s="10"/>
    </row>
    <row r="78" spans="1:18" ht="13.8" x14ac:dyDescent="0.25">
      <c r="A78" s="158" t="s">
        <v>344</v>
      </c>
      <c r="H78" s="32"/>
      <c r="I78" s="49"/>
      <c r="J78" s="49"/>
      <c r="K78" s="27"/>
    </row>
    <row r="79" spans="1:18" ht="13.8" x14ac:dyDescent="0.25">
      <c r="A79" s="159" t="s">
        <v>345</v>
      </c>
    </row>
    <row r="80" spans="1:18" ht="13.8" x14ac:dyDescent="0.25">
      <c r="A80" s="160" t="s">
        <v>346</v>
      </c>
    </row>
    <row r="81" spans="1:1" x14ac:dyDescent="0.25">
      <c r="A81" s="179" t="s">
        <v>355</v>
      </c>
    </row>
  </sheetData>
  <mergeCells count="1">
    <mergeCell ref="K49:L49"/>
  </mergeCells>
  <phoneticPr fontId="10" type="noConversion"/>
  <pageMargins left="0.35" right="0.28000000000000003" top="1" bottom="1" header="0.5" footer="0.5"/>
  <pageSetup scale="60" orientation="portrait" r:id="rId1"/>
  <headerFooter alignWithMargins="0">
    <oddFooter>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P35"/>
  <sheetViews>
    <sheetView workbookViewId="0">
      <selection activeCell="C10" sqref="C10"/>
    </sheetView>
  </sheetViews>
  <sheetFormatPr defaultRowHeight="13.2" x14ac:dyDescent="0.25"/>
  <cols>
    <col min="1" max="1" width="20.44140625" customWidth="1"/>
    <col min="2" max="2" width="15.44140625" customWidth="1"/>
    <col min="13" max="13" width="9.33203125" bestFit="1" customWidth="1"/>
  </cols>
  <sheetData>
    <row r="1" spans="1:16" x14ac:dyDescent="0.25">
      <c r="A1" s="85" t="s">
        <v>157</v>
      </c>
      <c r="B1" s="116" t="s">
        <v>291</v>
      </c>
      <c r="C1" s="104">
        <v>2002</v>
      </c>
      <c r="D1" s="97">
        <v>2003</v>
      </c>
      <c r="E1" s="97">
        <v>2004</v>
      </c>
      <c r="F1" s="97">
        <v>2005</v>
      </c>
      <c r="G1" s="97">
        <v>2006</v>
      </c>
      <c r="H1" s="97">
        <v>2007</v>
      </c>
      <c r="I1" s="97">
        <v>2008</v>
      </c>
      <c r="J1" s="97">
        <v>2009</v>
      </c>
      <c r="K1" s="97">
        <v>2010</v>
      </c>
      <c r="L1" s="97">
        <v>2011</v>
      </c>
      <c r="M1" s="98">
        <v>2012</v>
      </c>
      <c r="N1" s="98">
        <v>2013</v>
      </c>
      <c r="O1" s="98">
        <v>2014</v>
      </c>
      <c r="P1" s="98">
        <v>2015</v>
      </c>
    </row>
    <row r="2" spans="1:16" x14ac:dyDescent="0.25">
      <c r="A2" s="84" t="s">
        <v>292</v>
      </c>
      <c r="B2" s="117" t="s">
        <v>293</v>
      </c>
      <c r="C2" s="105" t="s">
        <v>294</v>
      </c>
      <c r="D2" s="99" t="s">
        <v>295</v>
      </c>
      <c r="E2" s="99" t="s">
        <v>294</v>
      </c>
      <c r="F2" s="99" t="s">
        <v>296</v>
      </c>
      <c r="G2" s="99" t="s">
        <v>294</v>
      </c>
      <c r="H2" s="99" t="s">
        <v>297</v>
      </c>
      <c r="I2" s="99" t="s">
        <v>298</v>
      </c>
      <c r="J2" s="100" t="s">
        <v>294</v>
      </c>
      <c r="K2" s="100" t="s">
        <v>299</v>
      </c>
      <c r="L2" s="100" t="s">
        <v>296</v>
      </c>
      <c r="M2" s="99" t="s">
        <v>298</v>
      </c>
    </row>
    <row r="3" spans="1:16" x14ac:dyDescent="0.25">
      <c r="A3" s="84" t="s">
        <v>300</v>
      </c>
      <c r="B3" s="117" t="s">
        <v>301</v>
      </c>
      <c r="C3" s="105" t="s">
        <v>294</v>
      </c>
      <c r="D3" s="99" t="s">
        <v>294</v>
      </c>
      <c r="E3" s="99" t="s">
        <v>294</v>
      </c>
      <c r="F3" s="99" t="s">
        <v>296</v>
      </c>
      <c r="G3" s="99" t="s">
        <v>302</v>
      </c>
      <c r="H3" s="99" t="s">
        <v>294</v>
      </c>
      <c r="I3" s="99" t="s">
        <v>299</v>
      </c>
      <c r="J3" s="100" t="s">
        <v>303</v>
      </c>
      <c r="K3" s="100" t="s">
        <v>299</v>
      </c>
      <c r="L3" s="100" t="s">
        <v>294</v>
      </c>
      <c r="M3" s="100" t="s">
        <v>303</v>
      </c>
    </row>
    <row r="4" spans="1:16" x14ac:dyDescent="0.25">
      <c r="A4" s="84" t="s">
        <v>304</v>
      </c>
      <c r="B4" s="117" t="s">
        <v>305</v>
      </c>
      <c r="C4" s="105" t="s">
        <v>294</v>
      </c>
      <c r="D4" s="99" t="s">
        <v>295</v>
      </c>
      <c r="E4" s="99" t="s">
        <v>294</v>
      </c>
      <c r="F4" s="99" t="s">
        <v>296</v>
      </c>
      <c r="G4" s="100" t="s">
        <v>294</v>
      </c>
      <c r="H4" s="100" t="s">
        <v>294</v>
      </c>
      <c r="I4" s="100" t="s">
        <v>294</v>
      </c>
      <c r="J4" s="100" t="s">
        <v>303</v>
      </c>
      <c r="K4" s="100" t="s">
        <v>294</v>
      </c>
      <c r="L4" s="100" t="s">
        <v>294</v>
      </c>
      <c r="M4" s="100" t="s">
        <v>296</v>
      </c>
    </row>
    <row r="5" spans="1:16" x14ac:dyDescent="0.25">
      <c r="A5" s="84" t="s">
        <v>306</v>
      </c>
      <c r="B5" s="117" t="s">
        <v>307</v>
      </c>
      <c r="C5" s="105" t="s">
        <v>296</v>
      </c>
      <c r="D5" s="99" t="s">
        <v>297</v>
      </c>
      <c r="E5" s="99" t="s">
        <v>297</v>
      </c>
      <c r="F5" s="99" t="s">
        <v>297</v>
      </c>
      <c r="G5" s="100" t="s">
        <v>297</v>
      </c>
      <c r="H5" s="100" t="s">
        <v>297</v>
      </c>
      <c r="I5" s="100" t="s">
        <v>297</v>
      </c>
      <c r="J5" s="100" t="s">
        <v>297</v>
      </c>
      <c r="K5" s="100" t="s">
        <v>297</v>
      </c>
      <c r="L5" s="100" t="s">
        <v>295</v>
      </c>
      <c r="M5" s="100" t="s">
        <v>295</v>
      </c>
    </row>
    <row r="6" spans="1:16" x14ac:dyDescent="0.25">
      <c r="A6" s="84" t="s">
        <v>308</v>
      </c>
      <c r="B6" s="117" t="s">
        <v>309</v>
      </c>
      <c r="C6" s="105" t="s">
        <v>294</v>
      </c>
      <c r="D6" s="99" t="s">
        <v>297</v>
      </c>
      <c r="E6" s="99" t="s">
        <v>303</v>
      </c>
      <c r="F6" s="99" t="s">
        <v>295</v>
      </c>
      <c r="G6" s="100" t="s">
        <v>296</v>
      </c>
      <c r="H6" s="100" t="s">
        <v>297</v>
      </c>
      <c r="I6" s="100" t="s">
        <v>296</v>
      </c>
      <c r="J6" s="100" t="s">
        <v>297</v>
      </c>
      <c r="K6" s="100" t="s">
        <v>296</v>
      </c>
      <c r="L6" s="100" t="s">
        <v>297</v>
      </c>
      <c r="M6" s="100" t="s">
        <v>296</v>
      </c>
    </row>
    <row r="7" spans="1:16" x14ac:dyDescent="0.25">
      <c r="A7" s="84" t="s">
        <v>310</v>
      </c>
      <c r="B7" s="117" t="s">
        <v>311</v>
      </c>
      <c r="C7" s="106" t="s">
        <v>297</v>
      </c>
      <c r="D7" s="101" t="s">
        <v>295</v>
      </c>
      <c r="E7" s="101" t="s">
        <v>297</v>
      </c>
      <c r="F7" s="101" t="s">
        <v>295</v>
      </c>
      <c r="G7" s="101" t="s">
        <v>296</v>
      </c>
      <c r="H7" s="101" t="s">
        <v>296</v>
      </c>
      <c r="I7" s="101" t="s">
        <v>296</v>
      </c>
      <c r="J7" s="101" t="s">
        <v>296</v>
      </c>
      <c r="K7" s="101" t="s">
        <v>296</v>
      </c>
      <c r="L7" s="101" t="s">
        <v>297</v>
      </c>
      <c r="M7" s="100" t="s">
        <v>297</v>
      </c>
    </row>
    <row r="8" spans="1:16" x14ac:dyDescent="0.25">
      <c r="A8" s="84" t="s">
        <v>312</v>
      </c>
      <c r="B8" s="117" t="s">
        <v>313</v>
      </c>
      <c r="C8" s="105" t="s">
        <v>295</v>
      </c>
      <c r="D8" s="99" t="s">
        <v>295</v>
      </c>
      <c r="E8" s="99" t="s">
        <v>295</v>
      </c>
      <c r="F8" s="99" t="s">
        <v>295</v>
      </c>
      <c r="G8" s="99" t="s">
        <v>294</v>
      </c>
      <c r="H8" s="99" t="s">
        <v>297</v>
      </c>
      <c r="I8" s="99" t="s">
        <v>303</v>
      </c>
      <c r="J8" s="100" t="s">
        <v>303</v>
      </c>
      <c r="K8" s="100" t="s">
        <v>303</v>
      </c>
      <c r="L8" s="100" t="s">
        <v>296</v>
      </c>
      <c r="M8" s="100" t="s">
        <v>303</v>
      </c>
    </row>
    <row r="9" spans="1:16" x14ac:dyDescent="0.25">
      <c r="A9" s="84" t="s">
        <v>314</v>
      </c>
      <c r="B9" s="117" t="s">
        <v>315</v>
      </c>
      <c r="C9" s="105" t="s">
        <v>297</v>
      </c>
      <c r="D9" s="99" t="s">
        <v>294</v>
      </c>
      <c r="E9" s="99" t="s">
        <v>295</v>
      </c>
      <c r="F9" s="99" t="s">
        <v>295</v>
      </c>
      <c r="G9" s="99" t="s">
        <v>295</v>
      </c>
      <c r="H9" s="99" t="s">
        <v>297</v>
      </c>
      <c r="I9" s="99" t="s">
        <v>296</v>
      </c>
      <c r="J9" s="100" t="s">
        <v>303</v>
      </c>
      <c r="K9" s="100" t="s">
        <v>297</v>
      </c>
      <c r="L9" s="100" t="s">
        <v>296</v>
      </c>
      <c r="M9" s="100" t="s">
        <v>295</v>
      </c>
    </row>
    <row r="10" spans="1:16" x14ac:dyDescent="0.25">
      <c r="A10" s="84" t="s">
        <v>316</v>
      </c>
      <c r="B10" s="117" t="s">
        <v>317</v>
      </c>
      <c r="C10" s="99" t="s">
        <v>294</v>
      </c>
      <c r="D10" s="99" t="s">
        <v>294</v>
      </c>
      <c r="E10" s="99" t="s">
        <v>295</v>
      </c>
      <c r="F10" s="99" t="s">
        <v>295</v>
      </c>
      <c r="G10" s="99" t="s">
        <v>295</v>
      </c>
      <c r="H10" s="99" t="s">
        <v>294</v>
      </c>
      <c r="I10" s="99" t="s">
        <v>303</v>
      </c>
      <c r="J10" s="100" t="s">
        <v>296</v>
      </c>
      <c r="K10" s="100" t="s">
        <v>294</v>
      </c>
      <c r="L10" s="100" t="s">
        <v>296</v>
      </c>
      <c r="M10" s="100" t="s">
        <v>299</v>
      </c>
    </row>
    <row r="11" spans="1:16" x14ac:dyDescent="0.25">
      <c r="A11" s="84" t="s">
        <v>318</v>
      </c>
      <c r="B11" s="117" t="s">
        <v>319</v>
      </c>
      <c r="C11" s="105" t="s">
        <v>299</v>
      </c>
      <c r="D11" s="99" t="s">
        <v>299</v>
      </c>
      <c r="E11" s="99" t="s">
        <v>299</v>
      </c>
      <c r="F11" s="99" t="s">
        <v>297</v>
      </c>
      <c r="G11" s="99" t="s">
        <v>296</v>
      </c>
      <c r="H11" s="99" t="s">
        <v>294</v>
      </c>
      <c r="I11" s="99" t="s">
        <v>298</v>
      </c>
      <c r="J11" s="100" t="s">
        <v>296</v>
      </c>
      <c r="K11" s="100" t="s">
        <v>299</v>
      </c>
      <c r="L11" s="100" t="s">
        <v>297</v>
      </c>
      <c r="M11" s="99" t="s">
        <v>298</v>
      </c>
    </row>
    <row r="12" spans="1:16" x14ac:dyDescent="0.25">
      <c r="A12" s="86" t="s">
        <v>320</v>
      </c>
      <c r="B12" s="118" t="s">
        <v>321</v>
      </c>
      <c r="C12" s="107" t="s">
        <v>303</v>
      </c>
      <c r="D12" s="102" t="s">
        <v>295</v>
      </c>
      <c r="E12" s="102" t="s">
        <v>294</v>
      </c>
      <c r="F12" s="102" t="s">
        <v>295</v>
      </c>
      <c r="G12" s="102" t="s">
        <v>299</v>
      </c>
      <c r="H12" s="102" t="s">
        <v>297</v>
      </c>
      <c r="I12" s="102" t="s">
        <v>303</v>
      </c>
      <c r="J12" s="103" t="s">
        <v>295</v>
      </c>
      <c r="K12" s="103" t="s">
        <v>294</v>
      </c>
      <c r="L12" s="103" t="s">
        <v>295</v>
      </c>
      <c r="M12" s="102" t="s">
        <v>298</v>
      </c>
    </row>
    <row r="13" spans="1:16" ht="14.4" x14ac:dyDescent="0.3">
      <c r="C13" s="87" t="s">
        <v>298</v>
      </c>
      <c r="D13" s="88" t="s">
        <v>322</v>
      </c>
      <c r="E13" s="83"/>
    </row>
    <row r="14" spans="1:16" ht="14.4" x14ac:dyDescent="0.3">
      <c r="C14" s="87" t="s">
        <v>299</v>
      </c>
      <c r="D14" s="88" t="s">
        <v>323</v>
      </c>
      <c r="E14" s="83"/>
    </row>
    <row r="15" spans="1:16" ht="14.4" x14ac:dyDescent="0.3">
      <c r="C15" s="87" t="s">
        <v>303</v>
      </c>
      <c r="D15" s="88" t="s">
        <v>324</v>
      </c>
      <c r="E15" s="83"/>
    </row>
    <row r="16" spans="1:16" ht="14.4" x14ac:dyDescent="0.3">
      <c r="C16" s="87" t="s">
        <v>294</v>
      </c>
      <c r="D16" s="88" t="s">
        <v>325</v>
      </c>
    </row>
    <row r="17" spans="1:13" ht="14.4" x14ac:dyDescent="0.3">
      <c r="C17" s="87" t="s">
        <v>296</v>
      </c>
      <c r="D17" s="88" t="s">
        <v>326</v>
      </c>
    </row>
    <row r="18" spans="1:13" ht="14.4" x14ac:dyDescent="0.3">
      <c r="C18" s="87" t="s">
        <v>297</v>
      </c>
      <c r="D18" s="88" t="s">
        <v>327</v>
      </c>
    </row>
    <row r="19" spans="1:13" ht="14.4" x14ac:dyDescent="0.3">
      <c r="C19" s="87" t="s">
        <v>295</v>
      </c>
      <c r="D19" s="88" t="s">
        <v>328</v>
      </c>
    </row>
    <row r="22" spans="1:13" ht="14.4" x14ac:dyDescent="0.3">
      <c r="A22" s="83"/>
      <c r="B22" s="83"/>
      <c r="F22" s="83"/>
      <c r="G22" s="83"/>
      <c r="H22" s="83"/>
      <c r="I22" s="83"/>
      <c r="J22" s="83"/>
      <c r="K22" s="83"/>
      <c r="L22" s="83"/>
      <c r="M22" s="83"/>
    </row>
    <row r="23" spans="1:13" ht="14.4" x14ac:dyDescent="0.3">
      <c r="A23" s="83">
        <v>2017</v>
      </c>
      <c r="B23" s="197" t="s">
        <v>342</v>
      </c>
      <c r="C23" s="197"/>
      <c r="F23" s="83"/>
      <c r="G23" s="83"/>
      <c r="H23" s="83"/>
      <c r="I23" s="83"/>
      <c r="J23" s="83"/>
      <c r="K23" s="83"/>
      <c r="L23" s="83"/>
      <c r="M23" s="83"/>
    </row>
    <row r="24" spans="1:13" ht="14.4" x14ac:dyDescent="0.3">
      <c r="A24" s="85" t="s">
        <v>157</v>
      </c>
      <c r="B24" s="149" t="s">
        <v>140</v>
      </c>
      <c r="C24" s="150" t="s">
        <v>341</v>
      </c>
      <c r="F24" s="83"/>
      <c r="G24" s="83"/>
      <c r="H24" s="83"/>
      <c r="I24" s="83"/>
      <c r="J24" s="83"/>
      <c r="K24" s="83"/>
      <c r="L24" s="83"/>
      <c r="M24" s="83"/>
    </row>
    <row r="25" spans="1:13" x14ac:dyDescent="0.25">
      <c r="A25" s="84" t="s">
        <v>292</v>
      </c>
      <c r="B25" s="150"/>
      <c r="C25" s="150"/>
    </row>
    <row r="26" spans="1:13" x14ac:dyDescent="0.25">
      <c r="A26" s="84" t="s">
        <v>300</v>
      </c>
      <c r="B26" s="151"/>
      <c r="C26" s="152"/>
      <c r="D26" s="14"/>
      <c r="E26" s="14"/>
      <c r="F26" s="14"/>
      <c r="G26" s="14"/>
      <c r="H26" s="14"/>
    </row>
    <row r="27" spans="1:13" x14ac:dyDescent="0.25">
      <c r="A27" s="84" t="s">
        <v>304</v>
      </c>
      <c r="B27" s="153"/>
      <c r="C27" s="153"/>
      <c r="D27" s="90"/>
      <c r="E27" s="90"/>
      <c r="F27" s="90"/>
      <c r="G27" s="90"/>
      <c r="H27" s="10"/>
    </row>
    <row r="28" spans="1:13" x14ac:dyDescent="0.25">
      <c r="A28" s="84" t="s">
        <v>306</v>
      </c>
      <c r="B28" s="150"/>
      <c r="C28" s="150"/>
    </row>
    <row r="29" spans="1:13" x14ac:dyDescent="0.25">
      <c r="A29" s="84" t="s">
        <v>308</v>
      </c>
      <c r="B29" s="150"/>
      <c r="C29" s="150"/>
    </row>
    <row r="30" spans="1:13" x14ac:dyDescent="0.25">
      <c r="A30" s="84" t="s">
        <v>310</v>
      </c>
      <c r="B30" s="150"/>
      <c r="C30" s="150"/>
    </row>
    <row r="31" spans="1:13" x14ac:dyDescent="0.25">
      <c r="A31" s="84" t="s">
        <v>312</v>
      </c>
      <c r="B31" s="150"/>
      <c r="C31" s="150"/>
    </row>
    <row r="32" spans="1:13" x14ac:dyDescent="0.25">
      <c r="A32" s="84" t="s">
        <v>314</v>
      </c>
      <c r="B32" s="150"/>
      <c r="C32" s="150"/>
    </row>
    <row r="33" spans="1:3" x14ac:dyDescent="0.25">
      <c r="A33" s="84" t="s">
        <v>316</v>
      </c>
      <c r="B33" s="150"/>
      <c r="C33" s="150"/>
    </row>
    <row r="34" spans="1:3" x14ac:dyDescent="0.25">
      <c r="A34" s="84" t="s">
        <v>318</v>
      </c>
      <c r="B34" s="150"/>
      <c r="C34" s="150"/>
    </row>
    <row r="35" spans="1:3" x14ac:dyDescent="0.25">
      <c r="A35" s="86" t="s">
        <v>320</v>
      </c>
      <c r="B35" s="150"/>
      <c r="C35" s="150"/>
    </row>
  </sheetData>
  <mergeCells count="1">
    <mergeCell ref="B23:C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11</vt:i4>
      </vt:variant>
    </vt:vector>
  </HeadingPairs>
  <TitlesOfParts>
    <vt:vector size="27" baseType="lpstr">
      <vt:lpstr>Sheet1</vt:lpstr>
      <vt:lpstr>Sheet3</vt:lpstr>
      <vt:lpstr>Escapement Figures</vt:lpstr>
      <vt:lpstr>Sheet4</vt:lpstr>
      <vt:lpstr>SE Baranof</vt:lpstr>
      <vt:lpstr>Red Bluff</vt:lpstr>
      <vt:lpstr>Kelp Bay</vt:lpstr>
      <vt:lpstr>Whale</vt:lpstr>
      <vt:lpstr>W Crawfish</vt:lpstr>
      <vt:lpstr>Sitka Sound</vt:lpstr>
      <vt:lpstr>Peril Strait</vt:lpstr>
      <vt:lpstr>Salisbury</vt:lpstr>
      <vt:lpstr>Slocum</vt:lpstr>
      <vt:lpstr>Portlock</vt:lpstr>
      <vt:lpstr>Lisianski</vt:lpstr>
      <vt:lpstr>Sheet2</vt:lpstr>
      <vt:lpstr>'Kelp Bay'!Print_Area</vt:lpstr>
      <vt:lpstr>Lisianski!Print_Area</vt:lpstr>
      <vt:lpstr>'Peril Strait'!Print_Area</vt:lpstr>
      <vt:lpstr>Portlock!Print_Area</vt:lpstr>
      <vt:lpstr>'Red Bluff'!Print_Area</vt:lpstr>
      <vt:lpstr>Salisbury!Print_Area</vt:lpstr>
      <vt:lpstr>'SE Baranof'!Print_Area</vt:lpstr>
      <vt:lpstr>'Sitka Sound'!Print_Area</vt:lpstr>
      <vt:lpstr>Slocum!Print_Area</vt:lpstr>
      <vt:lpstr>'W Crawfish'!Print_Area</vt:lpstr>
      <vt:lpstr>Whale!Print_Area</vt:lpstr>
    </vt:vector>
  </TitlesOfParts>
  <Company>State of Alaska, Department of Fish and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Gordon</dc:creator>
  <cp:lastModifiedBy>Dupuis, Aaron W (DFG)</cp:lastModifiedBy>
  <cp:lastPrinted>2016-05-19T17:42:24Z</cp:lastPrinted>
  <dcterms:created xsi:type="dcterms:W3CDTF">2006-10-10T21:09:27Z</dcterms:created>
  <dcterms:modified xsi:type="dcterms:W3CDTF">2025-02-28T02:26:25Z</dcterms:modified>
</cp:coreProperties>
</file>